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laura\Documents\univer+course\univer\магістратура\2 семестр\ВД\Математичне моделювання соціальних\Лабораторні занняття Макроекономічні виробничі функції\"/>
    </mc:Choice>
  </mc:AlternateContent>
  <xr:revisionPtr revIDLastSave="0" documentId="13_ncr:1_{8294CD0E-49E8-4A39-91DB-C3D97B50AD70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Аркуш3" sheetId="3" r:id="rId1"/>
    <sheet name="Аркуш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3" l="1"/>
  <c r="A17" i="1"/>
  <c r="J3" i="1"/>
  <c r="J4" i="1"/>
  <c r="J5" i="1"/>
  <c r="J6" i="1"/>
  <c r="J7" i="1"/>
  <c r="J2" i="1"/>
  <c r="I6" i="1"/>
  <c r="I7" i="1"/>
  <c r="I5" i="1"/>
  <c r="I4" i="1"/>
  <c r="I3" i="1"/>
  <c r="I2" i="1"/>
  <c r="A14" i="1" l="1" a="1"/>
  <c r="A14" i="1" s="1"/>
  <c r="H3" i="1"/>
  <c r="H4" i="1"/>
  <c r="H5" i="1"/>
  <c r="H6" i="1"/>
  <c r="H7" i="1"/>
  <c r="H2" i="1"/>
  <c r="G3" i="1"/>
  <c r="G4" i="1"/>
  <c r="G5" i="1"/>
  <c r="G6" i="1"/>
  <c r="G7" i="1"/>
  <c r="G2" i="1"/>
  <c r="E3" i="1"/>
  <c r="E4" i="1"/>
  <c r="E5" i="1"/>
  <c r="E6" i="1"/>
  <c r="E7" i="1"/>
  <c r="E2" i="1"/>
  <c r="C14" i="1" l="1"/>
  <c r="B14" i="1"/>
</calcChain>
</file>

<file path=xl/sharedStrings.xml><?xml version="1.0" encoding="utf-8"?>
<sst xmlns="http://schemas.openxmlformats.org/spreadsheetml/2006/main" count="48" uniqueCount="45">
  <si>
    <t xml:space="preserve">X (у мільярдах $ ) </t>
  </si>
  <si>
    <t xml:space="preserve">L (у тисячах людей) </t>
  </si>
  <si>
    <t xml:space="preserve">K (у мільярдах $ ) </t>
  </si>
  <si>
    <t>Роки</t>
  </si>
  <si>
    <t>ln X</t>
  </si>
  <si>
    <t>Х_0</t>
  </si>
  <si>
    <t>Х_1(ln K)</t>
  </si>
  <si>
    <t>X_2(ln L)</t>
  </si>
  <si>
    <t>Прогноз</t>
  </si>
  <si>
    <t>N</t>
  </si>
  <si>
    <t>m</t>
  </si>
  <si>
    <t>а_2</t>
  </si>
  <si>
    <t>а_1</t>
  </si>
  <si>
    <t>а_0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</si>
  <si>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</si>
  <si>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</si>
  <si>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</si>
  <si>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</si>
  <si>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</si>
  <si>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</si>
  <si>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</si>
  <si>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</si>
  <si>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</si>
  <si>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</si>
  <si>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</si>
  <si>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</si>
  <si>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</si>
  <si>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</si>
  <si>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</si>
  <si>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</si>
  <si>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</si>
  <si>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</si>
  <si>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</si>
  <si>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</si>
  <si>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</si>
  <si>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</si>
  <si>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</si>
  <si>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</si>
  <si>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RESIDUAL OUTPUT</t>
  </si>
  <si>
    <t>Observation</t>
  </si>
  <si>
    <t>Predicted Y</t>
  </si>
  <si>
    <t>Residuals</t>
  </si>
  <si>
    <t>y^</t>
  </si>
  <si>
    <t>e</t>
  </si>
  <si>
    <t>σ^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</si>
</sst>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  <xf numFmtId="0" fontId="1" fillId="0" borderId="2" xfId="0" applyFont="1" applyBorder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uk-UA"/>
              <a:t>Х_1(</a:t>
            </a:r>
            <a:r>
              <a:rPr lang="en-US"/>
              <a:t>ln K)</a:t>
            </a:r>
            <a:r>
              <a:rPr lang="uk-UA"/>
              <a:t> </a:t>
            </a:r>
            <a:r>
              <a:rPr lang="en-US"/>
              <a:t>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Аркуш1!$G$2:$G$7</c:f>
              <c:numCache>
                <c:formatCode>General</c:formatCode>
                <c:ptCount val="6"/>
                <c:pt idx="0">
                  <c:v>24.74861752768156</c:v>
                </c:pt>
                <c:pt idx="1">
                  <c:v>24.775050784749716</c:v>
                </c:pt>
                <c:pt idx="2">
                  <c:v>24.800803280852129</c:v>
                </c:pt>
                <c:pt idx="3">
                  <c:v>24.825909201983208</c:v>
                </c:pt>
                <c:pt idx="4">
                  <c:v>24.850400221991503</c:v>
                </c:pt>
                <c:pt idx="5">
                  <c:v>24.874305742845056</c:v>
                </c:pt>
              </c:numCache>
            </c:numRef>
          </c:xVal>
          <c:yVal>
            <c:numRef>
              <c:f>Аркуш3!$C$26:$C$31</c:f>
              <c:numCache>
                <c:formatCode>General</c:formatCode>
                <c:ptCount val="6"/>
                <c:pt idx="0">
                  <c:v>6.3500725695284643E-3</c:v>
                </c:pt>
                <c:pt idx="1">
                  <c:v>3.6891903863498499E-3</c:v>
                </c:pt>
                <c:pt idx="2">
                  <c:v>-1.1388460757199681E-2</c:v>
                </c:pt>
                <c:pt idx="3">
                  <c:v>-8.5023491068412227E-3</c:v>
                </c:pt>
                <c:pt idx="4">
                  <c:v>3.5248956016111777E-3</c:v>
                </c:pt>
                <c:pt idx="5">
                  <c:v>6.3266513065727281E-3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46-4D2B-8E7F-6958E4EED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29951"/>
        <c:axId val="206432447"/>
      </c:scatterChart>
      <c:valAx>
        <c:axId val="520299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6432447"/>
        <c:crosses val="autoZero"/>
        <c:crossBetween val="midCat"/>
      </c:valAx>
      <c:valAx>
        <c:axId val="2064324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02995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X_2(ln L)</a:t>
            </a:r>
            <a:r>
              <a:rPr lang="uk-UA"/>
              <a:t> </a:t>
            </a:r>
            <a:r>
              <a:rPr lang="en-US"/>
              <a:t>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Аркуш1!$H$2:$H$7</c:f>
              <c:numCache>
                <c:formatCode>General</c:formatCode>
                <c:ptCount val="6"/>
                <c:pt idx="0">
                  <c:v>11.958034273682944</c:v>
                </c:pt>
                <c:pt idx="1">
                  <c:v>11.964828767184178</c:v>
                </c:pt>
                <c:pt idx="2">
                  <c:v>11.977834890766742</c:v>
                </c:pt>
                <c:pt idx="3">
                  <c:v>11.984927096878637</c:v>
                </c:pt>
                <c:pt idx="4">
                  <c:v>11.995814470043197</c:v>
                </c:pt>
                <c:pt idx="5">
                  <c:v>12.004806772985276</c:v>
                </c:pt>
              </c:numCache>
            </c:numRef>
          </c:xVal>
          <c:yVal>
            <c:numRef>
              <c:f>Аркуш3!$C$26:$C$31</c:f>
              <c:numCache>
                <c:formatCode>General</c:formatCode>
                <c:ptCount val="6"/>
                <c:pt idx="0">
                  <c:v>6.3500725695284643E-3</c:v>
                </c:pt>
                <c:pt idx="1">
                  <c:v>3.6891903863498499E-3</c:v>
                </c:pt>
                <c:pt idx="2">
                  <c:v>-1.1388460757199681E-2</c:v>
                </c:pt>
                <c:pt idx="3">
                  <c:v>-8.5023491068412227E-3</c:v>
                </c:pt>
                <c:pt idx="4">
                  <c:v>3.5248956016111777E-3</c:v>
                </c:pt>
                <c:pt idx="5">
                  <c:v>6.3266513065727281E-3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ECA-45AF-898A-1B522E649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430047"/>
        <c:axId val="52029951"/>
      </c:scatterChart>
      <c:valAx>
        <c:axId val="206430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029951"/>
        <c:crosses val="autoZero"/>
        <c:crossBetween val="midCat"/>
      </c:valAx>
      <c:valAx>
        <c:axId val="520299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643004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0</xdr:row>
      <xdr:rowOff>177800</xdr:rowOff>
    </xdr:from>
    <xdr:to>
      <xdr:col>15</xdr:col>
      <xdr:colOff>247650</xdr:colOff>
      <xdr:row>10</xdr:row>
      <xdr:rowOff>177800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3340703F-E57D-BB46-EDA7-9B6CF42DC3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355600</xdr:colOff>
      <xdr:row>12</xdr:row>
      <xdr:rowOff>101600</xdr:rowOff>
    </xdr:from>
    <xdr:to>
      <xdr:col>15</xdr:col>
      <xdr:colOff>393700</xdr:colOff>
      <xdr:row>22</xdr:row>
      <xdr:rowOff>31750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59E71C39-10B0-686E-FEB1-CA58E05A99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DBB99-8125-4825-9347-5D1F2EAEA91E}">
  <dimension ref="A1:I31"/>
  <sheetViews>
    <sheetView tabSelected="1" topLeftCell="A3" workbookViewId="0">
      <selection activeCell="D20" sqref="D20"/>
    </sheetView>
  </sheetViews>
  <sheetFormatPr defaultRowHeight="14.5" x14ac:dyDescent="0.35"/>
  <cols>
    <col min="1" max="1" width="18.36328125" customWidth="1"/>
    <col min="2" max="2" width="12.36328125" customWidth="1"/>
    <col min="3" max="3" width="13.1796875" customWidth="1"/>
    <col min="4" max="4" width="13.36328125" customWidth="1"/>
    <col min="5" max="5" width="13.81640625" customWidth="1"/>
    <col min="6" max="6" width="17.6328125" customWidth="1"/>
    <col min="7" max="7" width="12.36328125" customWidth="1"/>
    <col min="8" max="8" width="16.6328125" customWidth="1"/>
    <col min="9" max="9" width="17.81640625" customWidth="1"/>
  </cols>
  <sheetData>
    <row r="1" spans="1:9" x14ac:dyDescent="0.35">
      <c r="A1" t="s">
        <v>14</v>
      </c>
    </row>
    <row r="2" spans="1:9" ht="15" thickBot="1" x14ac:dyDescent="0.4"/>
    <row r="3" spans="1:9" x14ac:dyDescent="0.35">
      <c r="A3" s="6" t="s">
        <v>15</v>
      </c>
      <c r="B3" s="5"/>
    </row>
    <row r="4" spans="1:9" x14ac:dyDescent="0.35">
      <c r="A4" t="s">
        <v>16</v>
      </c>
      <c r="B4">
        <v>0.99459677715712347</v>
      </c>
    </row>
    <row r="5" spans="1:9" x14ac:dyDescent="0.35">
      <c r="A5" t="s">
        <v>17</v>
      </c>
      <c r="B5">
        <v>0.98922274913133679</v>
      </c>
    </row>
    <row r="6" spans="1:9" x14ac:dyDescent="0.35">
      <c r="A6" t="s">
        <v>18</v>
      </c>
      <c r="B6">
        <v>0.9820379152188945</v>
      </c>
    </row>
    <row r="7" spans="1:9" x14ac:dyDescent="0.35">
      <c r="A7" t="s">
        <v>19</v>
      </c>
      <c r="B7">
        <v>1.0138572086428333E-2</v>
      </c>
    </row>
    <row r="8" spans="1:9" ht="15" thickBot="1" x14ac:dyDescent="0.4">
      <c r="A8" s="3" t="s">
        <v>20</v>
      </c>
      <c r="B8" s="3">
        <v>6</v>
      </c>
    </row>
    <row r="10" spans="1:9" ht="15" thickBot="1" x14ac:dyDescent="0.4">
      <c r="A10" t="s">
        <v>21</v>
      </c>
    </row>
    <row r="11" spans="1:9" x14ac:dyDescent="0.35">
      <c r="A11" s="4"/>
      <c r="B11" s="4" t="s">
        <v>26</v>
      </c>
      <c r="C11" s="4" t="s">
        <v>27</v>
      </c>
      <c r="D11" s="4" t="s">
        <v>28</v>
      </c>
      <c r="E11" s="4" t="s">
        <v>29</v>
      </c>
      <c r="F11" s="4" t="s">
        <v>30</v>
      </c>
    </row>
    <row r="12" spans="1:9" x14ac:dyDescent="0.35">
      <c r="A12" t="s">
        <v>22</v>
      </c>
      <c r="B12">
        <v>2</v>
      </c>
      <c r="C12">
        <v>2.8304855654018187E-2</v>
      </c>
      <c r="D12">
        <v>1.4152427827009094E-2</v>
      </c>
      <c r="E12">
        <v>137.68206213066063</v>
      </c>
      <c r="F12">
        <v>1.1188245527936332E-3</v>
      </c>
    </row>
    <row r="13" spans="1:9" x14ac:dyDescent="0.35">
      <c r="A13" t="s">
        <v>23</v>
      </c>
      <c r="B13">
        <v>3</v>
      </c>
      <c r="C13">
        <v>3.083719318551113E-4</v>
      </c>
      <c r="D13">
        <v>1.0279064395170377E-4</v>
      </c>
    </row>
    <row r="14" spans="1:9" ht="15" thickBot="1" x14ac:dyDescent="0.4">
      <c r="A14" s="3" t="s">
        <v>24</v>
      </c>
      <c r="B14" s="3">
        <v>5</v>
      </c>
      <c r="C14" s="3">
        <v>2.8613227585873299E-2</v>
      </c>
      <c r="D14" s="3"/>
      <c r="E14" s="3"/>
      <c r="F14" s="3"/>
    </row>
    <row r="15" spans="1:9" ht="15" thickBot="1" x14ac:dyDescent="0.4"/>
    <row r="16" spans="1:9" x14ac:dyDescent="0.35">
      <c r="A16" s="4"/>
      <c r="B16" s="4" t="s">
        <v>31</v>
      </c>
      <c r="C16" s="4" t="s">
        <v>19</v>
      </c>
      <c r="D16" s="4" t="s">
        <v>32</v>
      </c>
      <c r="E16" s="4" t="s">
        <v>33</v>
      </c>
      <c r="F16" s="4" t="s">
        <v>34</v>
      </c>
      <c r="G16" s="4" t="s">
        <v>35</v>
      </c>
      <c r="H16" s="4" t="s">
        <v>36</v>
      </c>
      <c r="I16" s="4" t="s">
        <v>37</v>
      </c>
    </row>
    <row r="17" spans="1:9" x14ac:dyDescent="0.35">
      <c r="A17" t="s">
        <v>25</v>
      </c>
      <c r="B17">
        <v>-10.186302032111312</v>
      </c>
      <c r="C17">
        <v>9.1173411869088721</v>
      </c>
      <c r="D17">
        <v>-1.1172448001328839</v>
      </c>
      <c r="E17">
        <v>0.34530394495717615</v>
      </c>
      <c r="F17">
        <v>-39.20175080640044</v>
      </c>
      <c r="G17">
        <v>18.829146742177812</v>
      </c>
      <c r="H17">
        <v>-39.20175080640044</v>
      </c>
      <c r="I17">
        <v>18.829146742177812</v>
      </c>
    </row>
    <row r="18" spans="1:9" x14ac:dyDescent="0.35">
      <c r="A18" t="s">
        <v>6</v>
      </c>
      <c r="B18">
        <v>1.4400107964702193</v>
      </c>
      <c r="C18">
        <v>1.3044446786997448</v>
      </c>
      <c r="D18">
        <v>1.1039263067143676</v>
      </c>
      <c r="E18">
        <v>0.35022061091923845</v>
      </c>
      <c r="F18">
        <v>-2.711314351704778</v>
      </c>
      <c r="G18">
        <v>5.5913359446452171</v>
      </c>
      <c r="H18">
        <v>-2.711314351704778</v>
      </c>
      <c r="I18">
        <v>5.5913359446452171</v>
      </c>
    </row>
    <row r="19" spans="1:9" ht="15" thickBot="1" x14ac:dyDescent="0.4">
      <c r="A19" s="3" t="s">
        <v>7</v>
      </c>
      <c r="B19" s="3">
        <v>0.42156242553301676</v>
      </c>
      <c r="C19" s="3">
        <v>3.4284048322082574</v>
      </c>
      <c r="D19" s="3">
        <v>0.12296168222977498</v>
      </c>
      <c r="E19" s="3">
        <v>0.90991255887362676</v>
      </c>
      <c r="F19" s="3">
        <v>-10.489151865744967</v>
      </c>
      <c r="G19" s="3">
        <v>11.332276716811</v>
      </c>
      <c r="H19" s="3">
        <v>-10.489151865744967</v>
      </c>
      <c r="I19" s="3">
        <v>11.332276716811</v>
      </c>
    </row>
    <row r="20" spans="1:9" x14ac:dyDescent="0.35">
      <c r="D20">
        <f>_xlfn.T.INV.2T(0.05,3)</f>
        <v>3.1824463052837091</v>
      </c>
    </row>
    <row r="23" spans="1:9" x14ac:dyDescent="0.35">
      <c r="A23" t="s">
        <v>38</v>
      </c>
    </row>
    <row r="24" spans="1:9" ht="15" thickBot="1" x14ac:dyDescent="0.4"/>
    <row r="25" spans="1:9" x14ac:dyDescent="0.35">
      <c r="A25" s="4" t="s">
        <v>39</v>
      </c>
      <c r="B25" s="4" t="s">
        <v>40</v>
      </c>
      <c r="C25" s="4" t="s">
        <v>41</v>
      </c>
    </row>
    <row r="26" spans="1:9" x14ac:dyDescent="0.35">
      <c r="A26">
        <v>1</v>
      </c>
      <c r="B26">
        <v>30.493032338482966</v>
      </c>
      <c r="C26">
        <v>6.3500725695284643E-3</v>
      </c>
    </row>
    <row r="27" spans="1:9" x14ac:dyDescent="0.35">
      <c r="A27">
        <v>2</v>
      </c>
      <c r="B27">
        <v>30.533960817207632</v>
      </c>
      <c r="C27">
        <v>3.6891903863498499E-3</v>
      </c>
    </row>
    <row r="28" spans="1:9" x14ac:dyDescent="0.35">
      <c r="A28">
        <v>3</v>
      </c>
      <c r="B28">
        <v>30.576527582635414</v>
      </c>
      <c r="C28">
        <v>-1.1388460757199681E-2</v>
      </c>
    </row>
    <row r="29" spans="1:9" x14ac:dyDescent="0.35">
      <c r="A29">
        <v>4</v>
      </c>
      <c r="B29">
        <v>30.615670187730405</v>
      </c>
      <c r="C29">
        <v>-8.5023491068412227E-3</v>
      </c>
    </row>
    <row r="30" spans="1:9" x14ac:dyDescent="0.35">
      <c r="A30">
        <v>5</v>
      </c>
      <c r="B30">
        <v>30.655527228397858</v>
      </c>
      <c r="C30">
        <v>3.5248956016111777E-3</v>
      </c>
    </row>
    <row r="31" spans="1:9" ht="15" thickBot="1" x14ac:dyDescent="0.4">
      <c r="A31" s="3">
        <v>6</v>
      </c>
      <c r="B31" s="3">
        <v>30.693742253561606</v>
      </c>
      <c r="C31" s="3">
        <v>6.3266513065727281E-3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workbookViewId="0">
      <selection activeCell="A17" sqref="A17"/>
    </sheetView>
  </sheetViews>
  <sheetFormatPr defaultRowHeight="14.5" x14ac:dyDescent="0.35"/>
  <cols>
    <col min="1" max="2" width="17.453125" customWidth="1"/>
    <col min="3" max="4" width="17.36328125" customWidth="1"/>
    <col min="5" max="5" width="17.1796875" customWidth="1"/>
    <col min="7" max="7" width="14.54296875" customWidth="1"/>
    <col min="8" max="8" width="15.1796875" customWidth="1"/>
    <col min="9" max="9" width="15.453125" customWidth="1"/>
  </cols>
  <sheetData>
    <row r="1" spans="1:10" x14ac:dyDescent="0.35">
      <c r="A1" t="s">
        <v>3</v>
      </c>
      <c r="B1" s="1" t="s">
        <v>0</v>
      </c>
      <c r="C1" t="s">
        <v>1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s="8" t="s">
        <v>42</v>
      </c>
      <c r="J1" t="s">
        <v>43</v>
      </c>
    </row>
    <row r="2" spans="1:10" x14ac:dyDescent="0.35">
      <c r="A2" s="2">
        <v>2014</v>
      </c>
      <c r="B2">
        <v>17608140000000</v>
      </c>
      <c r="C2" s="2">
        <v>156066</v>
      </c>
      <c r="D2" s="2">
        <v>56000000000</v>
      </c>
      <c r="E2" s="2">
        <f>LN(B2)</f>
        <v>30.499382411052494</v>
      </c>
      <c r="F2" s="2">
        <v>1</v>
      </c>
      <c r="G2">
        <f>LN(D2)</f>
        <v>24.74861752768156</v>
      </c>
      <c r="H2">
        <f>LN(C2)</f>
        <v>11.958034273682944</v>
      </c>
      <c r="I2">
        <f>C14+B14*G2+A14*H2</f>
        <v>30.493032338482966</v>
      </c>
      <c r="J2">
        <f>E2-I2</f>
        <v>6.3500725695284643E-3</v>
      </c>
    </row>
    <row r="3" spans="1:10" s="2" customFormat="1" x14ac:dyDescent="0.35">
      <c r="A3" s="2">
        <v>2015</v>
      </c>
      <c r="B3" s="2">
        <v>18295020000000</v>
      </c>
      <c r="C3" s="2">
        <v>157130</v>
      </c>
      <c r="D3" s="2">
        <v>57500000000</v>
      </c>
      <c r="E3" s="2">
        <f t="shared" ref="E3:E7" si="0">LN(B3)</f>
        <v>30.537650007593982</v>
      </c>
      <c r="F3" s="2">
        <v>1</v>
      </c>
      <c r="G3">
        <f t="shared" ref="G3:G7" si="1">LN(D3)</f>
        <v>24.775050784749716</v>
      </c>
      <c r="H3">
        <f t="shared" ref="H3:H7" si="2">LN(C3)</f>
        <v>11.964828767184178</v>
      </c>
      <c r="I3" s="7">
        <f>C14+B14*G3+A14*H3</f>
        <v>30.533960817207632</v>
      </c>
      <c r="J3">
        <f t="shared" ref="J3:J7" si="3">E3-I3</f>
        <v>3.6891903863498499E-3</v>
      </c>
    </row>
    <row r="4" spans="1:10" s="2" customFormat="1" x14ac:dyDescent="0.35">
      <c r="A4" s="2">
        <v>2016</v>
      </c>
      <c r="B4" s="2">
        <v>18804910000000</v>
      </c>
      <c r="C4" s="2">
        <v>159187</v>
      </c>
      <c r="D4" s="2">
        <v>59000000000</v>
      </c>
      <c r="E4" s="2">
        <f t="shared" si="0"/>
        <v>30.565139121878214</v>
      </c>
      <c r="F4" s="2">
        <v>1</v>
      </c>
      <c r="G4">
        <f t="shared" si="1"/>
        <v>24.800803280852129</v>
      </c>
      <c r="H4">
        <f t="shared" si="2"/>
        <v>11.977834890766742</v>
      </c>
      <c r="I4" s="7">
        <f>C14+B14*G4+A14*H4</f>
        <v>30.576527582635414</v>
      </c>
      <c r="J4">
        <f t="shared" si="3"/>
        <v>-1.1388460757199681E-2</v>
      </c>
    </row>
    <row r="5" spans="1:10" s="2" customFormat="1" x14ac:dyDescent="0.35">
      <c r="A5" s="2">
        <v>2017</v>
      </c>
      <c r="B5" s="2">
        <v>19612100000000</v>
      </c>
      <c r="C5" s="2">
        <v>160320</v>
      </c>
      <c r="D5" s="2">
        <v>60500000000</v>
      </c>
      <c r="E5" s="2">
        <f t="shared" si="0"/>
        <v>30.607167838623564</v>
      </c>
      <c r="F5" s="2">
        <v>1</v>
      </c>
      <c r="G5">
        <f t="shared" si="1"/>
        <v>24.825909201983208</v>
      </c>
      <c r="H5">
        <f t="shared" si="2"/>
        <v>11.984927096878637</v>
      </c>
      <c r="I5" s="7">
        <f>C14+B14*G5+A14*H5</f>
        <v>30.615670187730405</v>
      </c>
      <c r="J5">
        <f t="shared" si="3"/>
        <v>-8.5023491068412227E-3</v>
      </c>
    </row>
    <row r="6" spans="1:10" s="2" customFormat="1" x14ac:dyDescent="0.35">
      <c r="A6" s="2">
        <v>2018</v>
      </c>
      <c r="B6" s="2">
        <v>20656520000000</v>
      </c>
      <c r="C6" s="2">
        <v>162075</v>
      </c>
      <c r="D6" s="2">
        <v>62000000000</v>
      </c>
      <c r="E6" s="2">
        <f t="shared" si="0"/>
        <v>30.659052123999469</v>
      </c>
      <c r="F6" s="2">
        <v>1</v>
      </c>
      <c r="G6">
        <f t="shared" si="1"/>
        <v>24.850400221991503</v>
      </c>
      <c r="H6">
        <f t="shared" si="2"/>
        <v>11.995814470043197</v>
      </c>
      <c r="I6" s="7">
        <f>C14+B14*G6+A14*H6</f>
        <v>30.655527228397858</v>
      </c>
      <c r="J6">
        <f t="shared" si="3"/>
        <v>3.5248956016111777E-3</v>
      </c>
    </row>
    <row r="7" spans="1:10" s="2" customFormat="1" x14ac:dyDescent="0.35">
      <c r="A7" s="2">
        <v>2019</v>
      </c>
      <c r="B7" s="2">
        <v>21521400000000</v>
      </c>
      <c r="C7" s="2">
        <v>163539</v>
      </c>
      <c r="D7" s="2">
        <v>63500000000</v>
      </c>
      <c r="E7" s="2">
        <f t="shared" si="0"/>
        <v>30.700068904868179</v>
      </c>
      <c r="F7" s="2">
        <v>1</v>
      </c>
      <c r="G7">
        <f t="shared" si="1"/>
        <v>24.874305742845056</v>
      </c>
      <c r="H7">
        <f t="shared" si="2"/>
        <v>12.004806772985276</v>
      </c>
      <c r="I7" s="7">
        <f>C14+B14*G7+A14*H7</f>
        <v>30.693742253561606</v>
      </c>
      <c r="J7">
        <f t="shared" si="3"/>
        <v>6.3266513065727281E-3</v>
      </c>
    </row>
    <row r="8" spans="1:10" x14ac:dyDescent="0.35">
      <c r="A8" t="s">
        <v>8</v>
      </c>
      <c r="C8" s="2">
        <v>173539</v>
      </c>
      <c r="D8" s="2">
        <v>64000000000</v>
      </c>
    </row>
    <row r="10" spans="1:10" x14ac:dyDescent="0.35">
      <c r="A10" t="s">
        <v>9</v>
      </c>
      <c r="B10" t="s">
        <v>10</v>
      </c>
    </row>
    <row r="11" spans="1:10" x14ac:dyDescent="0.35">
      <c r="A11" s="2">
        <v>6</v>
      </c>
      <c r="B11" s="2">
        <v>2</v>
      </c>
    </row>
    <row r="13" spans="1:10" x14ac:dyDescent="0.35">
      <c r="A13" t="s">
        <v>11</v>
      </c>
      <c r="B13" t="s">
        <v>12</v>
      </c>
      <c r="C13" t="s">
        <v>13</v>
      </c>
    </row>
    <row r="14" spans="1:10" x14ac:dyDescent="0.35">
      <c r="A14">
        <f t="array" ref="A14:C14">LINEST(E2:E7,G2:H7)</f>
        <v>0.42156242553301676</v>
      </c>
      <c r="B14">
        <v>1.4400107964702193</v>
      </c>
      <c r="C14">
        <v>-10.186302032111312</v>
      </c>
    </row>
    <row r="16" spans="1:10" x14ac:dyDescent="0.35">
      <c r="A16" s="9" t="s">
        <v>44</v>
      </c>
    </row>
    <row r="17" spans="1:1" x14ac:dyDescent="0.35">
      <c r="A17">
        <f>SQRT(SUMSQ(J2:J7)/(A11-B11-1))</f>
        <v>1.013857208642833E-2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Аркуш3</vt:lpstr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Лаура Мовсисян</dc:creator>
  <cp:lastModifiedBy>Лаура Мовсисян</cp:lastModifiedBy>
  <dcterms:created xsi:type="dcterms:W3CDTF">2015-06-05T18:19:34Z</dcterms:created>
  <dcterms:modified xsi:type="dcterms:W3CDTF">2025-03-02T13:44:00Z</dcterms:modified>
</cp:coreProperties>
</file>