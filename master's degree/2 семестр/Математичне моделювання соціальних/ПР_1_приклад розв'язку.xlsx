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ex\Математична економіка\МЕ_бак\"/>
    </mc:Choice>
  </mc:AlternateContent>
  <xr:revisionPtr revIDLastSave="6" documentId="13_ncr:1_{6A0A940B-D76D-4A67-977B-B19494EBC0A9}" xr6:coauthVersionLast="47" xr6:coauthVersionMax="47" xr10:uidLastSave="{30EBC659-4E62-4E76-A963-05288A2EF810}"/>
  <bookViews>
    <workbookView xWindow="-120" yWindow="-120" windowWidth="21840" windowHeight="13140" firstSheet="1" activeTab="1" xr2:uid="{67ED9690-C5A3-4B4E-BAC5-B970093C69FD}"/>
  </bookViews>
  <sheets>
    <sheet name="Аркуш2" sheetId="2" r:id="rId1"/>
    <sheet name="Аркуш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M39" i="1" a="1"/>
  <c r="M39" i="1"/>
  <c r="I30" i="1"/>
  <c r="H26" i="1"/>
  <c r="G26" i="1"/>
  <c r="D20" i="2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H27" i="1" s="1"/>
  <c r="H40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G27" i="1" l="1"/>
  <c r="G40" i="1" s="1"/>
  <c r="I34" i="1" a="1"/>
  <c r="A32" i="1" a="1"/>
  <c r="A32" i="1" s="1"/>
  <c r="C32" i="1"/>
  <c r="B32" i="1"/>
  <c r="I26" i="1" l="1"/>
  <c r="E30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J2" i="1"/>
  <c r="A35" i="1" s="1"/>
  <c r="J30" i="1" s="1"/>
  <c r="I34" i="1"/>
  <c r="I36" i="1"/>
  <c r="K34" i="1"/>
  <c r="K35" i="1"/>
  <c r="J34" i="1"/>
  <c r="J36" i="1"/>
  <c r="I35" i="1"/>
  <c r="K36" i="1"/>
  <c r="J35" i="1"/>
  <c r="E34" i="1" l="1"/>
  <c r="I39" i="1" a="1"/>
  <c r="I39" i="1"/>
  <c r="J41" i="1"/>
  <c r="I40" i="1"/>
  <c r="I41" i="1"/>
  <c r="K39" i="1"/>
  <c r="K40" i="1"/>
  <c r="J39" i="1"/>
  <c r="K41" i="1"/>
  <c r="J40" i="1"/>
  <c r="H30" i="1"/>
  <c r="F30" i="1"/>
  <c r="F34" i="1"/>
  <c r="G30" i="1"/>
  <c r="G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<sst xmlns="http://schemas.openxmlformats.org/spreadsheetml/2006/main" count="62" uniqueCount="59">
  <si>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</si>
  <si>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</si>
  <si>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</si>
  <si>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</si>
  <si>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</si>
  <si>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</si>
  <si>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</si>
  <si>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</si>
  <si>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</si>
  <si>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</si>
  <si>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</si>
  <si>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</si>
  <si>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</si>
  <si>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</si>
  <si>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</si>
  <si>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</si>
  <si>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</si>
  <si>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</si>
  <si>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</si>
  <si>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</si>
  <si>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</si>
  <si>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</si>
  <si>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</si>
  <si>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</si>
  <si>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x1=ln(K)</t>
  </si>
  <si>
    <t>x2=ln(L)</t>
  </si>
  <si>
    <t>RESIDUAL OUTPUT</t>
  </si>
  <si>
    <t>Observation</t>
  </si>
  <si>
    <t>Predicted y=ln(ВВП)</t>
  </si>
  <si>
    <t>Residuals</t>
  </si>
  <si>
    <t>Годы</t>
  </si>
  <si>
    <t>ВВП-1980 млрд $</t>
  </si>
  <si>
    <t>Труд тыс.чел</t>
  </si>
  <si>
    <t>Кап.-1980 млрд $</t>
  </si>
  <si>
    <t>y=ln(ВВП)</t>
  </si>
  <si>
    <t>X0</t>
  </si>
  <si>
    <t>y^</t>
  </si>
  <si>
    <t>e</t>
  </si>
  <si>
    <t>Прогноз</t>
  </si>
  <si>
    <t>x avg</t>
  </si>
  <si>
    <t>N</t>
  </si>
  <si>
    <t>m</t>
  </si>
  <si>
    <t>yp</t>
  </si>
  <si>
    <t>yp-</t>
  </si>
  <si>
    <t>yp+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</si>
  <si>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04"/>
      </rPr>
      <t>yp</t>
    </r>
  </si>
  <si>
    <r>
      <t>t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charset val="204"/>
      </rPr>
      <t>,N-m-1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</si>
  <si>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charset val="204"/>
      </rPr>
      <t>yp</t>
    </r>
  </si>
  <si>
    <t>a2</t>
  </si>
  <si>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charset val="204"/>
      </rPr>
      <t>1</t>
    </r>
  </si>
  <si>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1"/>
        <charset val="2"/>
      </rPr>
      <t>0</t>
    </r>
  </si>
  <si>
    <t>ВВПp</t>
  </si>
  <si>
    <t>ВВПp-</t>
  </si>
  <si>
    <t>ВВПp+</t>
  </si>
  <si>
    <t>A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</si>
  <si>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charset val="204"/>
      </rPr>
      <t>^</t>
    </r>
  </si>
  <si>
    <r>
      <t>C=A</t>
    </r>
    <r>
      <rPr>
        <vertAlign val="superscript"/>
        <sz val="11"/>
        <color theme="1"/>
        <rFont val="Calibri"/>
        <family val="2"/>
        <charset val="204"/>
        <scheme val="minor"/>
      </rPr>
      <t>-1</t>
    </r>
  </si>
  <si>
    <t>x1p - x avg</t>
  </si>
  <si>
    <t>x2p - x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</si>
</sst>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i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0E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0" xfId="0" applyFont="1"/>
    <xf numFmtId="0" fontId="4" fillId="0" borderId="0" xfId="0" applyFont="1"/>
    <xf numFmtId="0" fontId="0" fillId="0" borderId="4" xfId="0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Continuous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x1=ln(K)  Residual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050661636045494"/>
          <c:y val="0.30921221054264764"/>
          <c:w val="0.75249699256342961"/>
          <c:h val="0.551510026763895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Аркуш1!$G$2:$G$25</c:f>
              <c:numCache>
                <c:formatCode>General</c:formatCode>
                <c:ptCount val="24"/>
                <c:pt idx="0">
                  <c:v>7.6301286822133276</c:v>
                </c:pt>
                <c:pt idx="1">
                  <c:v>7.696817910678206</c:v>
                </c:pt>
                <c:pt idx="2">
                  <c:v>7.7603289122588333</c:v>
                </c:pt>
                <c:pt idx="3">
                  <c:v>7.826693702624886</c:v>
                </c:pt>
                <c:pt idx="4">
                  <c:v>7.8914257419315925</c:v>
                </c:pt>
                <c:pt idx="5">
                  <c:v>7.9511282523386351</c:v>
                </c:pt>
                <c:pt idx="6">
                  <c:v>7.9980682231687386</c:v>
                </c:pt>
                <c:pt idx="7">
                  <c:v>8.0454437190729333</c:v>
                </c:pt>
                <c:pt idx="8">
                  <c:v>8.1003301732174613</c:v>
                </c:pt>
                <c:pt idx="9">
                  <c:v>8.1596215598590138</c:v>
                </c:pt>
                <c:pt idx="10">
                  <c:v>8.2178149850836135</c:v>
                </c:pt>
                <c:pt idx="11">
                  <c:v>8.270108576278119</c:v>
                </c:pt>
                <c:pt idx="12">
                  <c:v>8.317682911300583</c:v>
                </c:pt>
                <c:pt idx="13">
                  <c:v>8.357868214640229</c:v>
                </c:pt>
                <c:pt idx="14">
                  <c:v>8.3993335528259241</c:v>
                </c:pt>
                <c:pt idx="15">
                  <c:v>8.4318383325516404</c:v>
                </c:pt>
                <c:pt idx="16">
                  <c:v>8.4710212866123094</c:v>
                </c:pt>
                <c:pt idx="17">
                  <c:v>8.5461782368578145</c:v>
                </c:pt>
                <c:pt idx="18">
                  <c:v>8.5840793920963474</c:v>
                </c:pt>
                <c:pt idx="19">
                  <c:v>8.6176528173086542</c:v>
                </c:pt>
                <c:pt idx="20">
                  <c:v>8.6464326619054539</c:v>
                </c:pt>
                <c:pt idx="21">
                  <c:v>8.674566444600325</c:v>
                </c:pt>
                <c:pt idx="22">
                  <c:v>8.6988028281885938</c:v>
                </c:pt>
                <c:pt idx="23">
                  <c:v>8.723602787839253</c:v>
                </c:pt>
              </c:numCache>
            </c:numRef>
          </c:xVal>
          <c:yVal>
            <c:numRef>
              <c:f>Аркуш2!$C$26:$C$49</c:f>
              <c:numCache>
                <c:formatCode>General</c:formatCode>
                <c:ptCount val="24"/>
                <c:pt idx="0">
                  <c:v>5.2147861454532318E-4</c:v>
                </c:pt>
                <c:pt idx="1">
                  <c:v>-8.5148099508867148E-3</c:v>
                </c:pt>
                <c:pt idx="2">
                  <c:v>-2.7692360711142783E-2</c:v>
                </c:pt>
                <c:pt idx="3">
                  <c:v>-1.876653036875453E-3</c:v>
                </c:pt>
                <c:pt idx="4">
                  <c:v>-2.4314791621904419E-4</c:v>
                </c:pt>
                <c:pt idx="5">
                  <c:v>-1.3838256536694793E-2</c:v>
                </c:pt>
                <c:pt idx="6">
                  <c:v>-1.0248145312443668E-2</c:v>
                </c:pt>
                <c:pt idx="7">
                  <c:v>1.0668624806921656E-2</c:v>
                </c:pt>
                <c:pt idx="8">
                  <c:v>2.5375440234991054E-2</c:v>
                </c:pt>
                <c:pt idx="9">
                  <c:v>1.7754350186842238E-2</c:v>
                </c:pt>
                <c:pt idx="10">
                  <c:v>1.3492289653003198E-3</c:v>
                </c:pt>
                <c:pt idx="11">
                  <c:v>7.432379287399371E-3</c:v>
                </c:pt>
                <c:pt idx="12">
                  <c:v>1.9334202749818452E-2</c:v>
                </c:pt>
                <c:pt idx="13">
                  <c:v>-1.9609434235512424E-5</c:v>
                </c:pt>
                <c:pt idx="14">
                  <c:v>-1.1035025845263391E-2</c:v>
                </c:pt>
                <c:pt idx="15">
                  <c:v>2.8612432459713233E-2</c:v>
                </c:pt>
                <c:pt idx="16">
                  <c:v>3.1074477327670103E-2</c:v>
                </c:pt>
                <c:pt idx="17">
                  <c:v>2.0605443700258519E-2</c:v>
                </c:pt>
                <c:pt idx="18">
                  <c:v>-7.0243082329017881E-3</c:v>
                </c:pt>
                <c:pt idx="19">
                  <c:v>-2.1237233947977607E-2</c:v>
                </c:pt>
                <c:pt idx="20">
                  <c:v>-2.8263742056688912E-2</c:v>
                </c:pt>
                <c:pt idx="21">
                  <c:v>-1.5448020196491719E-2</c:v>
                </c:pt>
                <c:pt idx="22">
                  <c:v>-8.2680051359851348E-3</c:v>
                </c:pt>
                <c:pt idx="23">
                  <c:v>-9.0187400197034862E-3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41-44B4-BE55-70A45E0C3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367888"/>
        <c:axId val="355361168"/>
      </c:scatterChart>
      <c:valAx>
        <c:axId val="35536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x1=ln(K)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5361168"/>
        <c:crosses val="autoZero"/>
        <c:crossBetween val="midCat"/>
      </c:valAx>
      <c:valAx>
        <c:axId val="355361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53678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x2=ln(L)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Аркуш1!$H$2:$H$25</c:f>
              <c:numCache>
                <c:formatCode>General</c:formatCode>
                <c:ptCount val="24"/>
                <c:pt idx="0">
                  <c:v>10.175345074640937</c:v>
                </c:pt>
                <c:pt idx="1">
                  <c:v>10.177742381673879</c:v>
                </c:pt>
                <c:pt idx="2">
                  <c:v>10.179261503913537</c:v>
                </c:pt>
                <c:pt idx="3">
                  <c:v>10.17865413191749</c:v>
                </c:pt>
                <c:pt idx="4">
                  <c:v>10.18251982308024</c:v>
                </c:pt>
                <c:pt idx="5">
                  <c:v>10.178692103476797</c:v>
                </c:pt>
                <c:pt idx="6">
                  <c:v>10.146512159443487</c:v>
                </c:pt>
                <c:pt idx="7">
                  <c:v>10.147844500249535</c:v>
                </c:pt>
                <c:pt idx="8">
                  <c:v>10.161805178857993</c:v>
                </c:pt>
                <c:pt idx="9">
                  <c:v>10.173400179376332</c:v>
                </c:pt>
                <c:pt idx="10">
                  <c:v>10.176753713253548</c:v>
                </c:pt>
                <c:pt idx="11">
                  <c:v>10.173552856959743</c:v>
                </c:pt>
                <c:pt idx="12">
                  <c:v>10.173552856959743</c:v>
                </c:pt>
                <c:pt idx="13">
                  <c:v>10.167312288457342</c:v>
                </c:pt>
                <c:pt idx="14">
                  <c:v>10.137966613514083</c:v>
                </c:pt>
                <c:pt idx="15">
                  <c:v>10.128988323424016</c:v>
                </c:pt>
                <c:pt idx="16">
                  <c:v>10.127190947108852</c:v>
                </c:pt>
                <c:pt idx="17">
                  <c:v>10.147060985361845</c:v>
                </c:pt>
                <c:pt idx="18">
                  <c:v>10.158013485079007</c:v>
                </c:pt>
                <c:pt idx="19">
                  <c:v>10.150738179193571</c:v>
                </c:pt>
                <c:pt idx="20">
                  <c:v>10.133686158324014</c:v>
                </c:pt>
                <c:pt idx="21">
                  <c:v>10.118316634246252</c:v>
                </c:pt>
                <c:pt idx="22">
                  <c:v>10.12000922754145</c:v>
                </c:pt>
                <c:pt idx="23">
                  <c:v>10.126791091051704</c:v>
                </c:pt>
              </c:numCache>
            </c:numRef>
          </c:xVal>
          <c:yVal>
            <c:numRef>
              <c:f>Аркуш2!$C$26:$C$49</c:f>
              <c:numCache>
                <c:formatCode>General</c:formatCode>
                <c:ptCount val="24"/>
                <c:pt idx="0">
                  <c:v>5.2147861454532318E-4</c:v>
                </c:pt>
                <c:pt idx="1">
                  <c:v>-8.5148099508867148E-3</c:v>
                </c:pt>
                <c:pt idx="2">
                  <c:v>-2.7692360711142783E-2</c:v>
                </c:pt>
                <c:pt idx="3">
                  <c:v>-1.876653036875453E-3</c:v>
                </c:pt>
                <c:pt idx="4">
                  <c:v>-2.4314791621904419E-4</c:v>
                </c:pt>
                <c:pt idx="5">
                  <c:v>-1.3838256536694793E-2</c:v>
                </c:pt>
                <c:pt idx="6">
                  <c:v>-1.0248145312443668E-2</c:v>
                </c:pt>
                <c:pt idx="7">
                  <c:v>1.0668624806921656E-2</c:v>
                </c:pt>
                <c:pt idx="8">
                  <c:v>2.5375440234991054E-2</c:v>
                </c:pt>
                <c:pt idx="9">
                  <c:v>1.7754350186842238E-2</c:v>
                </c:pt>
                <c:pt idx="10">
                  <c:v>1.3492289653003198E-3</c:v>
                </c:pt>
                <c:pt idx="11">
                  <c:v>7.432379287399371E-3</c:v>
                </c:pt>
                <c:pt idx="12">
                  <c:v>1.9334202749818452E-2</c:v>
                </c:pt>
                <c:pt idx="13">
                  <c:v>-1.9609434235512424E-5</c:v>
                </c:pt>
                <c:pt idx="14">
                  <c:v>-1.1035025845263391E-2</c:v>
                </c:pt>
                <c:pt idx="15">
                  <c:v>2.8612432459713233E-2</c:v>
                </c:pt>
                <c:pt idx="16">
                  <c:v>3.1074477327670103E-2</c:v>
                </c:pt>
                <c:pt idx="17">
                  <c:v>2.0605443700258519E-2</c:v>
                </c:pt>
                <c:pt idx="18">
                  <c:v>-7.0243082329017881E-3</c:v>
                </c:pt>
                <c:pt idx="19">
                  <c:v>-2.1237233947977607E-2</c:v>
                </c:pt>
                <c:pt idx="20">
                  <c:v>-2.8263742056688912E-2</c:v>
                </c:pt>
                <c:pt idx="21">
                  <c:v>-1.5448020196491719E-2</c:v>
                </c:pt>
                <c:pt idx="22">
                  <c:v>-8.2680051359851348E-3</c:v>
                </c:pt>
                <c:pt idx="23">
                  <c:v>-9.0187400197034862E-3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7-4B5F-8B04-6532968E0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374608"/>
        <c:axId val="151974816"/>
      </c:scatterChart>
      <c:valAx>
        <c:axId val="35537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x2=ln(L)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974816"/>
        <c:crosses val="autoZero"/>
        <c:crossBetween val="midCat"/>
      </c:valAx>
      <c:valAx>
        <c:axId val="15197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53746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7BCE58CC-9704-288C-1A1C-11F5E8080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257175</xdr:colOff>
      <xdr:row>11</xdr:row>
      <xdr:rowOff>47625</xdr:rowOff>
    </xdr:from>
    <xdr:to>
      <xdr:col>15</xdr:col>
      <xdr:colOff>257175</xdr:colOff>
      <xdr:row>21</xdr:row>
      <xdr:rowOff>38100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C6C68D70-AEF6-1012-27AF-07DAD2F19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514350</xdr:colOff>
      <xdr:row>0</xdr:row>
      <xdr:rowOff>0</xdr:rowOff>
    </xdr:from>
    <xdr:to>
      <xdr:col>21</xdr:col>
      <xdr:colOff>342900</xdr:colOff>
      <xdr:row>14</xdr:row>
      <xdr:rowOff>85725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DE32514-6545-0BE5-7B8A-539832734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0"/>
          <a:ext cx="6734175" cy="326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18</xdr:row>
      <xdr:rowOff>85725</xdr:rowOff>
    </xdr:from>
    <xdr:to>
      <xdr:col>15</xdr:col>
      <xdr:colOff>533400</xdr:colOff>
      <xdr:row>23</xdr:row>
      <xdr:rowOff>133350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9AD65BE-9366-3DE7-7221-89DF3AC8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067175"/>
          <a:ext cx="35242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114300</xdr:colOff>
      <xdr:row>14</xdr:row>
      <xdr:rowOff>57150</xdr:rowOff>
    </xdr:from>
    <xdr:to>
      <xdr:col>24</xdr:col>
      <xdr:colOff>247650</xdr:colOff>
      <xdr:row>27</xdr:row>
      <xdr:rowOff>180975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BA488B8-5820-2EE4-E829-A9D157354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3238500"/>
          <a:ext cx="5619750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409575</xdr:colOff>
      <xdr:row>35</xdr:row>
      <xdr:rowOff>114301</xdr:rowOff>
    </xdr:from>
    <xdr:to>
      <xdr:col>13</xdr:col>
      <xdr:colOff>414385</xdr:colOff>
      <xdr:row>37</xdr:row>
      <xdr:rowOff>209551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2A1FF7B-3F74-CD98-6C8E-1910B519F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400926"/>
          <a:ext cx="142403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97FF-CEC7-49EE-A123-034C44F14B0F}">
  <dimension ref="A1:I49"/>
  <sheetViews>
    <sheetView workbookViewId="0">
      <selection activeCell="D20" sqref="D20"/>
    </sheetView>
  </sheetViews>
  <sheetFormatPr defaultRowHeight="15"/>
  <cols>
    <col min="2" max="2" width="11.28515625" customWidth="1"/>
    <col min="6" max="6" width="14" customWidth="1"/>
    <col min="9" max="9" width="16.28515625" customWidth="1"/>
  </cols>
  <sheetData>
    <row r="1" spans="1:9">
      <c r="A1" t="s">
        <v>0</v>
      </c>
    </row>
    <row r="2" spans="1:9" ht="15.75" thickBot="1"/>
    <row r="3" spans="1:9">
      <c r="A3" s="10" t="s">
        <v>1</v>
      </c>
      <c r="B3" s="10"/>
    </row>
    <row r="4" spans="1:9">
      <c r="A4" t="s">
        <v>2</v>
      </c>
      <c r="B4">
        <v>0.99731922918684224</v>
      </c>
    </row>
    <row r="5" spans="1:9">
      <c r="A5" t="s">
        <v>3</v>
      </c>
      <c r="B5">
        <v>0.99464564490583718</v>
      </c>
    </row>
    <row r="6" spans="1:9">
      <c r="A6" t="s">
        <v>4</v>
      </c>
      <c r="B6">
        <v>0.99413570632544079</v>
      </c>
    </row>
    <row r="7" spans="1:9">
      <c r="A7" t="s">
        <v>5</v>
      </c>
      <c r="B7">
        <v>1.7810851496361396E-2</v>
      </c>
    </row>
    <row r="8" spans="1:9" ht="15.75" thickBot="1">
      <c r="A8" s="8" t="s">
        <v>6</v>
      </c>
      <c r="B8" s="8">
        <v>24</v>
      </c>
    </row>
    <row r="10" spans="1:9" ht="15.75" thickBot="1">
      <c r="A10" t="s">
        <v>7</v>
      </c>
    </row>
    <row r="11" spans="1:9">
      <c r="A11" s="9"/>
      <c r="B11" s="9" t="s">
        <v>8</v>
      </c>
      <c r="C11" s="9" t="s">
        <v>9</v>
      </c>
      <c r="D11" s="9" t="s">
        <v>10</v>
      </c>
      <c r="E11" s="9" t="s">
        <v>11</v>
      </c>
      <c r="F11" s="9" t="s">
        <v>12</v>
      </c>
    </row>
    <row r="12" spans="1:9">
      <c r="A12" t="s">
        <v>13</v>
      </c>
      <c r="B12">
        <v>2</v>
      </c>
      <c r="C12">
        <v>1.2375133013986159</v>
      </c>
      <c r="D12">
        <v>0.61875665069930796</v>
      </c>
      <c r="E12">
        <v>1950.5204805891119</v>
      </c>
      <c r="F12">
        <v>1.4171808708818565E-24</v>
      </c>
    </row>
    <row r="13" spans="1:9">
      <c r="A13" t="s">
        <v>14</v>
      </c>
      <c r="B13">
        <v>21</v>
      </c>
      <c r="C13">
        <v>6.661755051534218E-3</v>
      </c>
      <c r="D13">
        <v>3.1722643102543896E-4</v>
      </c>
    </row>
    <row r="14" spans="1:9" ht="15.75" thickBot="1">
      <c r="A14" s="8" t="s">
        <v>15</v>
      </c>
      <c r="B14" s="8">
        <v>23</v>
      </c>
      <c r="C14" s="8">
        <v>1.2441750564501501</v>
      </c>
      <c r="D14" s="8"/>
      <c r="E14" s="8"/>
      <c r="F14" s="8"/>
    </row>
    <row r="15" spans="1:9" ht="15.75" thickBot="1"/>
    <row r="16" spans="1:9">
      <c r="A16" s="9"/>
      <c r="B16" s="9" t="s">
        <v>16</v>
      </c>
      <c r="C16" s="9" t="s">
        <v>5</v>
      </c>
      <c r="D16" s="9" t="s">
        <v>17</v>
      </c>
      <c r="E16" s="9" t="s">
        <v>18</v>
      </c>
      <c r="F16" s="9" t="s">
        <v>19</v>
      </c>
      <c r="G16" s="9" t="s">
        <v>20</v>
      </c>
      <c r="H16" s="9" t="s">
        <v>21</v>
      </c>
      <c r="I16" s="9" t="s">
        <v>22</v>
      </c>
    </row>
    <row r="17" spans="1:9">
      <c r="A17" t="s">
        <v>23</v>
      </c>
      <c r="B17">
        <v>-11.323609034838142</v>
      </c>
      <c r="C17">
        <v>2.797588530825458</v>
      </c>
      <c r="D17">
        <v>-4.0476320624237729</v>
      </c>
      <c r="E17">
        <v>5.7981405168629403E-4</v>
      </c>
      <c r="F17">
        <v>-17.141512875394135</v>
      </c>
      <c r="G17">
        <v>-5.5057051942821502</v>
      </c>
      <c r="H17">
        <v>-17.141512875394135</v>
      </c>
      <c r="I17">
        <v>-5.5057051942821502</v>
      </c>
    </row>
    <row r="18" spans="1:9">
      <c r="A18" t="s">
        <v>24</v>
      </c>
      <c r="B18">
        <v>0.73624629833595701</v>
      </c>
      <c r="C18">
        <v>1.6845355461230518E-2</v>
      </c>
      <c r="D18">
        <v>43.70618952092898</v>
      </c>
      <c r="E18">
        <v>4.1674676367652322E-22</v>
      </c>
      <c r="F18">
        <v>0.70121446389942299</v>
      </c>
      <c r="G18">
        <v>0.77127813277249102</v>
      </c>
      <c r="H18">
        <v>0.70121446389942299</v>
      </c>
      <c r="I18">
        <v>0.77127813277249102</v>
      </c>
    </row>
    <row r="19" spans="1:9" ht="15.75" thickBot="1">
      <c r="A19" s="8" t="s">
        <v>25</v>
      </c>
      <c r="B19" s="8">
        <v>1.2118206508853753</v>
      </c>
      <c r="C19" s="8">
        <v>0.26487071161857217</v>
      </c>
      <c r="D19" s="8">
        <v>4.5751402391007314</v>
      </c>
      <c r="E19" s="8">
        <v>1.643483530742063E-4</v>
      </c>
      <c r="F19" s="8">
        <v>0.66099185194051979</v>
      </c>
      <c r="G19" s="8">
        <v>1.7626494498302308</v>
      </c>
      <c r="H19" s="8">
        <v>0.66099185194051979</v>
      </c>
      <c r="I19" s="8">
        <v>1.7626494498302308</v>
      </c>
    </row>
    <row r="20" spans="1:9">
      <c r="D20">
        <f>_xlfn.T.INV.2T(0.05,21)</f>
        <v>2.07961384472768</v>
      </c>
    </row>
    <row r="23" spans="1:9">
      <c r="A23" t="s">
        <v>26</v>
      </c>
    </row>
    <row r="24" spans="1:9" ht="15.75" thickBot="1"/>
    <row r="25" spans="1:9">
      <c r="A25" s="9" t="s">
        <v>27</v>
      </c>
      <c r="B25" s="9" t="s">
        <v>28</v>
      </c>
      <c r="C25" s="9" t="s">
        <v>29</v>
      </c>
    </row>
    <row r="26" spans="1:9">
      <c r="A26">
        <v>1</v>
      </c>
      <c r="B26">
        <v>6.6247382546031108</v>
      </c>
      <c r="C26">
        <v>5.2147861454532318E-4</v>
      </c>
    </row>
    <row r="27" spans="1:9">
      <c r="A27">
        <v>2</v>
      </c>
      <c r="B27">
        <v>6.6767430583682899</v>
      </c>
      <c r="C27">
        <v>-8.5148099508867148E-3</v>
      </c>
    </row>
    <row r="28" spans="1:9">
      <c r="A28">
        <v>3</v>
      </c>
      <c r="B28">
        <v>6.7253437018868736</v>
      </c>
      <c r="C28">
        <v>-2.7692360711142783E-2</v>
      </c>
    </row>
    <row r="29" spans="1:9">
      <c r="A29">
        <v>4</v>
      </c>
      <c r="B29">
        <v>6.7734685072061414</v>
      </c>
      <c r="C29">
        <v>-1.876653036875453E-3</v>
      </c>
    </row>
    <row r="30" spans="1:9">
      <c r="A30">
        <v>5</v>
      </c>
      <c r="B30">
        <v>6.8258117559104088</v>
      </c>
      <c r="C30">
        <v>-2.4314791621904419E-4</v>
      </c>
    </row>
    <row r="31" spans="1:9">
      <c r="A31">
        <v>6</v>
      </c>
      <c r="B31">
        <v>6.8651289985377053</v>
      </c>
      <c r="C31">
        <v>-1.3838256536694793E-2</v>
      </c>
    </row>
    <row r="32" spans="1:9">
      <c r="A32">
        <v>7</v>
      </c>
      <c r="B32">
        <v>6.8606920575814669</v>
      </c>
      <c r="C32">
        <v>-1.0248145312443668E-2</v>
      </c>
    </row>
    <row r="33" spans="1:3">
      <c r="A33">
        <v>8</v>
      </c>
      <c r="B33">
        <v>6.8971866491755485</v>
      </c>
      <c r="C33">
        <v>1.0668624806921656E-2</v>
      </c>
    </row>
    <row r="34" spans="1:3">
      <c r="A34">
        <v>9</v>
      </c>
      <c r="B34">
        <v>6.9545144365063454</v>
      </c>
      <c r="C34">
        <v>2.5375440234991054E-2</v>
      </c>
    </row>
    <row r="35" spans="1:3">
      <c r="A35">
        <v>10</v>
      </c>
      <c r="B35">
        <v>7.0122185615195436</v>
      </c>
      <c r="C35">
        <v>1.7754350186842238E-2</v>
      </c>
    </row>
    <row r="36" spans="1:3">
      <c r="A36">
        <v>11</v>
      </c>
      <c r="B36">
        <v>7.0591271370345003</v>
      </c>
      <c r="C36">
        <v>1.3492289653003198E-3</v>
      </c>
    </row>
    <row r="37" spans="1:3">
      <c r="A37">
        <v>12</v>
      </c>
      <c r="B37">
        <v>7.0937492362207983</v>
      </c>
      <c r="C37">
        <v>7.432379287399371E-3</v>
      </c>
    </row>
    <row r="38" spans="1:3">
      <c r="A38">
        <v>13</v>
      </c>
      <c r="B38">
        <v>7.1287756642768825</v>
      </c>
      <c r="C38">
        <v>1.9334202749818452E-2</v>
      </c>
    </row>
    <row r="39" spans="1:3">
      <c r="A39">
        <v>14</v>
      </c>
      <c r="B39">
        <v>7.1507994953237315</v>
      </c>
      <c r="C39">
        <v>-1.9609434235512424E-5</v>
      </c>
    </row>
    <row r="40" spans="1:3">
      <c r="A40">
        <v>15</v>
      </c>
      <c r="B40">
        <v>7.1457665021617869</v>
      </c>
      <c r="C40">
        <v>-1.1035025845263391E-2</v>
      </c>
    </row>
    <row r="41" spans="1:3">
      <c r="A41">
        <v>16</v>
      </c>
      <c r="B41">
        <v>7.1588179485722883</v>
      </c>
      <c r="C41">
        <v>2.8612432459713233E-2</v>
      </c>
    </row>
    <row r="42" spans="1:3">
      <c r="A42">
        <v>17</v>
      </c>
      <c r="B42">
        <v>7.1854881557211963</v>
      </c>
      <c r="C42">
        <v>3.1074477327670103E-2</v>
      </c>
    </row>
    <row r="43" spans="1:3">
      <c r="A43">
        <v>18</v>
      </c>
      <c r="B43">
        <v>7.2649011048225267</v>
      </c>
      <c r="C43">
        <v>2.0605443700258519E-2</v>
      </c>
    </row>
    <row r="44" spans="1:3">
      <c r="A44">
        <v>19</v>
      </c>
      <c r="B44">
        <v>7.3060781554056256</v>
      </c>
      <c r="C44">
        <v>-7.0243082329017881E-3</v>
      </c>
    </row>
    <row r="45" spans="1:3">
      <c r="A45">
        <v>20</v>
      </c>
      <c r="B45">
        <v>7.3219800995271669</v>
      </c>
      <c r="C45">
        <v>-2.1237233947977607E-2</v>
      </c>
    </row>
    <row r="46" spans="1:3">
      <c r="A46">
        <v>21</v>
      </c>
      <c r="B46">
        <v>7.3225051625491879</v>
      </c>
      <c r="C46">
        <v>-2.8263742056688912E-2</v>
      </c>
    </row>
    <row r="47" spans="1:3">
      <c r="A47">
        <v>22</v>
      </c>
      <c r="B47">
        <v>7.3245934492447633</v>
      </c>
      <c r="C47">
        <v>-1.5448020196491719E-2</v>
      </c>
    </row>
    <row r="48" spans="1:3">
      <c r="A48">
        <v>23</v>
      </c>
      <c r="B48">
        <v>7.3444885164553479</v>
      </c>
      <c r="C48">
        <v>-8.2680051359851348E-3</v>
      </c>
    </row>
    <row r="49" spans="1:3" ht="15.75" thickBot="1">
      <c r="A49" s="8">
        <v>24</v>
      </c>
      <c r="B49" s="8">
        <v>7.3709657972002383</v>
      </c>
      <c r="C49" s="8">
        <v>-9.0187400197034862E-3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075E-F230-450A-963F-F1B78BC529D2}">
  <dimension ref="A1:M41"/>
  <sheetViews>
    <sheetView tabSelected="1" workbookViewId="0">
      <selection activeCell="F3" sqref="F3"/>
    </sheetView>
  </sheetViews>
  <sheetFormatPr defaultRowHeight="15"/>
  <cols>
    <col min="1" max="1" width="11.28515625" customWidth="1"/>
    <col min="2" max="2" width="11.5703125" customWidth="1"/>
    <col min="3" max="3" width="12.42578125" customWidth="1"/>
    <col min="4" max="4" width="11.42578125" customWidth="1"/>
    <col min="5" max="5" width="14.28515625" customWidth="1"/>
    <col min="6" max="6" width="11.85546875" customWidth="1"/>
    <col min="7" max="7" width="12.42578125" customWidth="1"/>
    <col min="8" max="8" width="13.140625" customWidth="1"/>
    <col min="13" max="13" width="12.140625" bestFit="1" customWidth="1"/>
  </cols>
  <sheetData>
    <row r="1" spans="1:10" ht="45.75" thickBo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4" t="s">
        <v>35</v>
      </c>
      <c r="G1" s="4" t="s">
        <v>24</v>
      </c>
      <c r="H1" s="4" t="s">
        <v>25</v>
      </c>
      <c r="I1" s="4" t="s">
        <v>36</v>
      </c>
      <c r="J1" s="4" t="s">
        <v>37</v>
      </c>
    </row>
    <row r="2" spans="1:10" ht="15.75" thickBot="1">
      <c r="A2" s="2">
        <v>1961</v>
      </c>
      <c r="B2" s="2">
        <v>753.9</v>
      </c>
      <c r="C2" s="2">
        <v>26248</v>
      </c>
      <c r="D2" s="2">
        <v>2059.3150000000001</v>
      </c>
      <c r="E2">
        <f>LN(B2)</f>
        <v>6.6252597332176562</v>
      </c>
      <c r="F2" s="5">
        <v>1</v>
      </c>
      <c r="G2">
        <f>LN(D2)</f>
        <v>7.6301286822133276</v>
      </c>
      <c r="H2">
        <f>LN(C2)</f>
        <v>10.175345074640937</v>
      </c>
      <c r="I2">
        <f>$C$32+$B$32*G2+$A$32*H2</f>
        <v>6.6247382546031108</v>
      </c>
      <c r="J2">
        <f>E2-I2</f>
        <v>5.2147861454532318E-4</v>
      </c>
    </row>
    <row r="3" spans="1:10" ht="15.75" thickBot="1">
      <c r="A3" s="2">
        <v>1962</v>
      </c>
      <c r="B3" s="2">
        <v>787</v>
      </c>
      <c r="C3" s="2">
        <v>26311</v>
      </c>
      <c r="D3" s="2">
        <v>2201.3319999999999</v>
      </c>
      <c r="E3">
        <f t="shared" ref="E3:E25" si="0">LN(B3)</f>
        <v>6.6682282484174031</v>
      </c>
      <c r="F3" s="5">
        <v>1</v>
      </c>
      <c r="G3">
        <f t="shared" ref="G3:G26" si="1">LN(D3)</f>
        <v>7.696817910678206</v>
      </c>
      <c r="H3">
        <f t="shared" ref="H3:H26" si="2">LN(C3)</f>
        <v>10.177742381673879</v>
      </c>
      <c r="I3">
        <f t="shared" ref="I3:I26" si="3">$C$32+$B$32*G3+$A$32*H3</f>
        <v>6.6767430583682899</v>
      </c>
      <c r="J3">
        <f t="shared" ref="J3:J25" si="4">E3-I3</f>
        <v>-8.5148099508867148E-3</v>
      </c>
    </row>
    <row r="4" spans="1:10" ht="15.75" thickBot="1">
      <c r="A4" s="2">
        <v>1963</v>
      </c>
      <c r="B4" s="2">
        <v>810.5</v>
      </c>
      <c r="C4" s="2">
        <v>26351</v>
      </c>
      <c r="D4" s="2">
        <v>2345.6759999999999</v>
      </c>
      <c r="E4">
        <f t="shared" si="0"/>
        <v>6.6976513411757308</v>
      </c>
      <c r="F4" s="5">
        <v>1</v>
      </c>
      <c r="G4">
        <f t="shared" si="1"/>
        <v>7.7603289122588333</v>
      </c>
      <c r="H4">
        <f t="shared" si="2"/>
        <v>10.179261503913537</v>
      </c>
      <c r="I4">
        <f t="shared" si="3"/>
        <v>6.7253437018868736</v>
      </c>
      <c r="J4">
        <f t="shared" si="4"/>
        <v>-2.7692360711142783E-2</v>
      </c>
    </row>
    <row r="5" spans="1:10" ht="15.75" thickBot="1">
      <c r="A5" s="2">
        <v>1964</v>
      </c>
      <c r="B5" s="2">
        <v>872.7</v>
      </c>
      <c r="C5" s="2">
        <v>26335</v>
      </c>
      <c r="D5" s="2">
        <v>2506.6280000000002</v>
      </c>
      <c r="E5">
        <f t="shared" si="0"/>
        <v>6.7715918541692659</v>
      </c>
      <c r="F5" s="5">
        <v>1</v>
      </c>
      <c r="G5">
        <f t="shared" si="1"/>
        <v>7.826693702624886</v>
      </c>
      <c r="H5">
        <f t="shared" si="2"/>
        <v>10.17865413191749</v>
      </c>
      <c r="I5">
        <f t="shared" si="3"/>
        <v>6.7734685072061414</v>
      </c>
      <c r="J5">
        <f t="shared" si="4"/>
        <v>-1.876653036875453E-3</v>
      </c>
    </row>
    <row r="6" spans="1:10" ht="15.75" thickBot="1">
      <c r="A6" s="2">
        <v>1965</v>
      </c>
      <c r="B6" s="2">
        <v>921.1</v>
      </c>
      <c r="C6" s="2">
        <v>26437</v>
      </c>
      <c r="D6" s="2">
        <v>2674.2539999999999</v>
      </c>
      <c r="E6">
        <f t="shared" si="0"/>
        <v>6.8255686079941897</v>
      </c>
      <c r="F6" s="5">
        <v>1</v>
      </c>
      <c r="G6">
        <f t="shared" si="1"/>
        <v>7.8914257419315925</v>
      </c>
      <c r="H6">
        <f t="shared" si="2"/>
        <v>10.18251982308024</v>
      </c>
      <c r="I6">
        <f t="shared" si="3"/>
        <v>6.8258117559104088</v>
      </c>
      <c r="J6">
        <f t="shared" si="4"/>
        <v>-2.4314791621904419E-4</v>
      </c>
    </row>
    <row r="7" spans="1:10" ht="15.75" thickBot="1">
      <c r="A7" s="2">
        <v>1966</v>
      </c>
      <c r="B7" s="2">
        <v>945.1</v>
      </c>
      <c r="C7" s="2">
        <v>26336</v>
      </c>
      <c r="D7" s="2">
        <v>2838.7759999999998</v>
      </c>
      <c r="E7">
        <f t="shared" si="0"/>
        <v>6.8512907420010105</v>
      </c>
      <c r="F7" s="5">
        <v>1</v>
      </c>
      <c r="G7">
        <f t="shared" si="1"/>
        <v>7.9511282523386351</v>
      </c>
      <c r="H7">
        <f t="shared" si="2"/>
        <v>10.178692103476797</v>
      </c>
      <c r="I7">
        <f t="shared" si="3"/>
        <v>6.8651289985377053</v>
      </c>
      <c r="J7">
        <f t="shared" si="4"/>
        <v>-1.3838256536694793E-2</v>
      </c>
    </row>
    <row r="8" spans="1:10" ht="15.75" thickBot="1">
      <c r="A8" s="2">
        <v>1967</v>
      </c>
      <c r="B8" s="2">
        <v>944.3</v>
      </c>
      <c r="C8" s="2">
        <v>25502</v>
      </c>
      <c r="D8" s="2">
        <v>2975.2049999999999</v>
      </c>
      <c r="E8">
        <f t="shared" si="0"/>
        <v>6.8504439122690233</v>
      </c>
      <c r="F8" s="5">
        <v>1</v>
      </c>
      <c r="G8">
        <f t="shared" si="1"/>
        <v>7.9980682231687386</v>
      </c>
      <c r="H8">
        <f t="shared" si="2"/>
        <v>10.146512159443487</v>
      </c>
      <c r="I8">
        <f t="shared" si="3"/>
        <v>6.8606920575814669</v>
      </c>
      <c r="J8">
        <f t="shared" si="4"/>
        <v>-1.0248145312443668E-2</v>
      </c>
    </row>
    <row r="9" spans="1:10" ht="15.75" thickBot="1">
      <c r="A9" s="2">
        <v>1968</v>
      </c>
      <c r="B9" s="2">
        <v>1000.1</v>
      </c>
      <c r="C9" s="2">
        <v>25536</v>
      </c>
      <c r="D9" s="2">
        <v>3119.549</v>
      </c>
      <c r="E9">
        <f t="shared" si="0"/>
        <v>6.9078552739824701</v>
      </c>
      <c r="F9" s="5">
        <v>1</v>
      </c>
      <c r="G9">
        <f t="shared" si="1"/>
        <v>8.0454437190729333</v>
      </c>
      <c r="H9">
        <f t="shared" si="2"/>
        <v>10.147844500249535</v>
      </c>
      <c r="I9">
        <f t="shared" si="3"/>
        <v>6.8971866491755485</v>
      </c>
      <c r="J9">
        <f t="shared" si="4"/>
        <v>1.0668624806921656E-2</v>
      </c>
    </row>
    <row r="10" spans="1:10" ht="15.75" thickBot="1">
      <c r="A10" s="2">
        <v>1969</v>
      </c>
      <c r="B10" s="2">
        <v>1074.8</v>
      </c>
      <c r="C10" s="2">
        <v>25895</v>
      </c>
      <c r="D10" s="2">
        <v>3295.556</v>
      </c>
      <c r="E10">
        <f t="shared" si="0"/>
        <v>6.9798898767413364</v>
      </c>
      <c r="F10" s="5">
        <v>1</v>
      </c>
      <c r="G10">
        <f t="shared" si="1"/>
        <v>8.1003301732174613</v>
      </c>
      <c r="H10">
        <f t="shared" si="2"/>
        <v>10.161805178857993</v>
      </c>
      <c r="I10">
        <f t="shared" si="3"/>
        <v>6.9545144365063454</v>
      </c>
      <c r="J10">
        <f t="shared" si="4"/>
        <v>2.5375440234991054E-2</v>
      </c>
    </row>
    <row r="11" spans="1:10" ht="15.75" thickBot="1">
      <c r="A11" s="2">
        <v>1970</v>
      </c>
      <c r="B11" s="2">
        <v>1130</v>
      </c>
      <c r="C11" s="2">
        <v>26197</v>
      </c>
      <c r="D11" s="2">
        <v>3496.8629999999998</v>
      </c>
      <c r="E11">
        <f t="shared" si="0"/>
        <v>7.0299729117063858</v>
      </c>
      <c r="F11" s="5">
        <v>1</v>
      </c>
      <c r="G11">
        <f t="shared" si="1"/>
        <v>8.1596215598590138</v>
      </c>
      <c r="H11">
        <f t="shared" si="2"/>
        <v>10.173400179376332</v>
      </c>
      <c r="I11">
        <f t="shared" si="3"/>
        <v>7.0122185615195436</v>
      </c>
      <c r="J11">
        <f t="shared" si="4"/>
        <v>1.7754350186842238E-2</v>
      </c>
    </row>
    <row r="12" spans="1:10" ht="15.75" thickBot="1">
      <c r="A12" s="2">
        <v>1971</v>
      </c>
      <c r="B12" s="2">
        <v>1165</v>
      </c>
      <c r="C12" s="2">
        <v>26285</v>
      </c>
      <c r="D12" s="2">
        <v>3706.395</v>
      </c>
      <c r="E12">
        <f t="shared" si="0"/>
        <v>7.0604763659998007</v>
      </c>
      <c r="F12" s="5">
        <v>1</v>
      </c>
      <c r="G12">
        <f t="shared" si="1"/>
        <v>8.2178149850836135</v>
      </c>
      <c r="H12">
        <f t="shared" si="2"/>
        <v>10.176753713253548</v>
      </c>
      <c r="I12">
        <f t="shared" si="3"/>
        <v>7.0591271370345003</v>
      </c>
      <c r="J12">
        <f t="shared" si="4"/>
        <v>1.3492289653003198E-3</v>
      </c>
    </row>
    <row r="13" spans="1:10" ht="15.75" thickBot="1">
      <c r="A13" s="2">
        <v>1972</v>
      </c>
      <c r="B13" s="2">
        <v>1213.4000000000001</v>
      </c>
      <c r="C13" s="2">
        <v>26201</v>
      </c>
      <c r="D13" s="2">
        <v>3905.373</v>
      </c>
      <c r="E13">
        <f t="shared" si="0"/>
        <v>7.1011816155081977</v>
      </c>
      <c r="F13" s="5">
        <v>1</v>
      </c>
      <c r="G13">
        <f t="shared" si="1"/>
        <v>8.270108576278119</v>
      </c>
      <c r="H13">
        <f t="shared" si="2"/>
        <v>10.173552856959743</v>
      </c>
      <c r="I13">
        <f t="shared" si="3"/>
        <v>7.0937492362207983</v>
      </c>
      <c r="J13">
        <f t="shared" si="4"/>
        <v>7.432379287399371E-3</v>
      </c>
    </row>
    <row r="14" spans="1:10" ht="15.75" thickBot="1">
      <c r="A14" s="2">
        <v>1973</v>
      </c>
      <c r="B14" s="2">
        <v>1271.7</v>
      </c>
      <c r="C14" s="2">
        <v>26201</v>
      </c>
      <c r="D14" s="2">
        <v>4095.6590000000001</v>
      </c>
      <c r="E14">
        <f t="shared" si="0"/>
        <v>7.1481098670267009</v>
      </c>
      <c r="F14" s="5">
        <v>1</v>
      </c>
      <c r="G14">
        <f t="shared" si="1"/>
        <v>8.317682911300583</v>
      </c>
      <c r="H14">
        <f t="shared" si="2"/>
        <v>10.173552856959743</v>
      </c>
      <c r="I14">
        <f t="shared" si="3"/>
        <v>7.1287756642768825</v>
      </c>
      <c r="J14">
        <f t="shared" si="4"/>
        <v>1.9334202749818452E-2</v>
      </c>
    </row>
    <row r="15" spans="1:10" ht="15.75" thickBot="1">
      <c r="A15" s="2">
        <v>1974</v>
      </c>
      <c r="B15" s="2">
        <v>1275.0999999999999</v>
      </c>
      <c r="C15" s="2">
        <v>26038</v>
      </c>
      <c r="D15" s="2">
        <v>4263.5959999999995</v>
      </c>
      <c r="E15">
        <f t="shared" si="0"/>
        <v>7.150779885889496</v>
      </c>
      <c r="F15" s="5">
        <v>1</v>
      </c>
      <c r="G15">
        <f t="shared" si="1"/>
        <v>8.357868214640229</v>
      </c>
      <c r="H15">
        <f t="shared" si="2"/>
        <v>10.167312288457342</v>
      </c>
      <c r="I15">
        <f t="shared" si="3"/>
        <v>7.1507994953237315</v>
      </c>
      <c r="J15">
        <f t="shared" si="4"/>
        <v>-1.9609434235512424E-5</v>
      </c>
    </row>
    <row r="16" spans="1:10" ht="15.75" thickBot="1">
      <c r="A16" s="2">
        <v>1975</v>
      </c>
      <c r="B16" s="2">
        <v>1254.8</v>
      </c>
      <c r="C16" s="2">
        <v>25285</v>
      </c>
      <c r="D16" s="2">
        <v>4444.1040000000003</v>
      </c>
      <c r="E16">
        <f t="shared" si="0"/>
        <v>7.1347314763165235</v>
      </c>
      <c r="F16" s="5">
        <v>1</v>
      </c>
      <c r="G16">
        <f t="shared" si="1"/>
        <v>8.3993335528259241</v>
      </c>
      <c r="H16">
        <f t="shared" si="2"/>
        <v>10.137966613514083</v>
      </c>
      <c r="I16">
        <f t="shared" si="3"/>
        <v>7.1457665021617869</v>
      </c>
      <c r="J16">
        <f t="shared" si="4"/>
        <v>-1.1035025845263391E-2</v>
      </c>
    </row>
    <row r="17" spans="1:10" ht="15.75" thickBot="1">
      <c r="A17" s="2">
        <v>1976</v>
      </c>
      <c r="B17" s="2">
        <v>1322.7</v>
      </c>
      <c r="C17" s="2">
        <v>25059</v>
      </c>
      <c r="D17" s="2">
        <v>4590.9319999999998</v>
      </c>
      <c r="E17">
        <f t="shared" si="0"/>
        <v>7.1874303810320015</v>
      </c>
      <c r="F17" s="5">
        <v>1</v>
      </c>
      <c r="G17">
        <f t="shared" si="1"/>
        <v>8.4318383325516404</v>
      </c>
      <c r="H17">
        <f t="shared" si="2"/>
        <v>10.128988323424016</v>
      </c>
      <c r="I17">
        <f t="shared" si="3"/>
        <v>7.1588179485722883</v>
      </c>
      <c r="J17">
        <f t="shared" si="4"/>
        <v>2.8612432459713233E-2</v>
      </c>
    </row>
    <row r="18" spans="1:10" ht="15.75" thickBot="1">
      <c r="A18" s="2">
        <v>1977</v>
      </c>
      <c r="B18" s="2">
        <v>1361.8</v>
      </c>
      <c r="C18" s="2">
        <v>25014</v>
      </c>
      <c r="D18" s="2">
        <v>4774.3890000000001</v>
      </c>
      <c r="E18">
        <f t="shared" si="0"/>
        <v>7.2165626330488664</v>
      </c>
      <c r="F18" s="5">
        <v>1</v>
      </c>
      <c r="G18">
        <f t="shared" si="1"/>
        <v>8.4710212866123094</v>
      </c>
      <c r="H18">
        <f t="shared" si="2"/>
        <v>10.127190947108852</v>
      </c>
      <c r="I18">
        <f t="shared" si="3"/>
        <v>7.1854881557211963</v>
      </c>
      <c r="J18">
        <f t="shared" si="4"/>
        <v>3.1074477327670103E-2</v>
      </c>
    </row>
    <row r="19" spans="1:10" ht="15.75" thickBot="1">
      <c r="A19" s="2">
        <v>1979</v>
      </c>
      <c r="B19" s="2">
        <v>1459</v>
      </c>
      <c r="C19" s="2">
        <v>25516</v>
      </c>
      <c r="D19" s="2">
        <v>5147.0460000000003</v>
      </c>
      <c r="E19">
        <f t="shared" si="0"/>
        <v>7.2855065485227852</v>
      </c>
      <c r="F19" s="5">
        <v>1</v>
      </c>
      <c r="G19">
        <f t="shared" si="1"/>
        <v>8.5461782368578145</v>
      </c>
      <c r="H19">
        <f t="shared" si="2"/>
        <v>10.147060985361845</v>
      </c>
      <c r="I19">
        <f t="shared" si="3"/>
        <v>7.2649011048225267</v>
      </c>
      <c r="J19">
        <f t="shared" si="4"/>
        <v>2.0605443700258519E-2</v>
      </c>
    </row>
    <row r="20" spans="1:10" ht="15.75" thickBot="1">
      <c r="A20" s="2">
        <v>1980</v>
      </c>
      <c r="B20" s="2">
        <v>1478.9</v>
      </c>
      <c r="C20" s="2">
        <v>25797</v>
      </c>
      <c r="D20" s="2">
        <v>5345.8689999999997</v>
      </c>
      <c r="E20">
        <f t="shared" si="0"/>
        <v>7.2990538471727238</v>
      </c>
      <c r="F20" s="5">
        <v>1</v>
      </c>
      <c r="G20">
        <f t="shared" si="1"/>
        <v>8.5840793920963474</v>
      </c>
      <c r="H20">
        <f t="shared" si="2"/>
        <v>10.158013485079007</v>
      </c>
      <c r="I20">
        <f t="shared" si="3"/>
        <v>7.3060781554056256</v>
      </c>
      <c r="J20">
        <f t="shared" si="4"/>
        <v>-7.0243082329017881E-3</v>
      </c>
    </row>
    <row r="21" spans="1:10" ht="15.75" thickBot="1">
      <c r="A21" s="2">
        <v>1981</v>
      </c>
      <c r="B21" s="2">
        <v>1481.4</v>
      </c>
      <c r="C21" s="2">
        <v>25610</v>
      </c>
      <c r="D21" s="2">
        <v>5528.3950000000004</v>
      </c>
      <c r="E21">
        <f t="shared" si="0"/>
        <v>7.3007428655791893</v>
      </c>
      <c r="F21" s="5">
        <v>1</v>
      </c>
      <c r="G21">
        <f t="shared" si="1"/>
        <v>8.6176528173086542</v>
      </c>
      <c r="H21">
        <f t="shared" si="2"/>
        <v>10.150738179193571</v>
      </c>
      <c r="I21">
        <f t="shared" si="3"/>
        <v>7.3219800995271669</v>
      </c>
      <c r="J21">
        <f t="shared" si="4"/>
        <v>-2.1237233947977607E-2</v>
      </c>
    </row>
    <row r="22" spans="1:10" ht="15.75" thickBot="1">
      <c r="A22" s="2">
        <v>1982</v>
      </c>
      <c r="B22" s="2">
        <v>1471.8</v>
      </c>
      <c r="C22" s="2">
        <v>25177</v>
      </c>
      <c r="D22" s="2">
        <v>5689.8130000000001</v>
      </c>
      <c r="E22">
        <f t="shared" si="0"/>
        <v>7.294241420492499</v>
      </c>
      <c r="F22" s="5">
        <v>1</v>
      </c>
      <c r="G22">
        <f t="shared" si="1"/>
        <v>8.6464326619054539</v>
      </c>
      <c r="H22">
        <f t="shared" si="2"/>
        <v>10.133686158324014</v>
      </c>
      <c r="I22">
        <f t="shared" si="3"/>
        <v>7.3225051625491879</v>
      </c>
      <c r="J22">
        <f t="shared" si="4"/>
        <v>-2.8263742056688912E-2</v>
      </c>
    </row>
    <row r="23" spans="1:10" ht="15.75" thickBot="1">
      <c r="A23" s="2">
        <v>1983</v>
      </c>
      <c r="B23" s="2">
        <v>1493.9</v>
      </c>
      <c r="C23" s="2">
        <v>24793</v>
      </c>
      <c r="D23" s="2">
        <v>5852.1620000000003</v>
      </c>
      <c r="E23">
        <f t="shared" si="0"/>
        <v>7.3091454290482716</v>
      </c>
      <c r="F23" s="5">
        <v>1</v>
      </c>
      <c r="G23">
        <f t="shared" si="1"/>
        <v>8.674566444600325</v>
      </c>
      <c r="H23">
        <f t="shared" si="2"/>
        <v>10.118316634246252</v>
      </c>
      <c r="I23">
        <f t="shared" si="3"/>
        <v>7.3245934492447633</v>
      </c>
      <c r="J23">
        <f t="shared" si="4"/>
        <v>-1.5448020196491719E-2</v>
      </c>
    </row>
    <row r="24" spans="1:10" ht="15.75" thickBot="1">
      <c r="A24" s="2">
        <v>1984</v>
      </c>
      <c r="B24" s="2">
        <v>1534.9</v>
      </c>
      <c r="C24" s="2">
        <v>24835</v>
      </c>
      <c r="D24" s="2">
        <v>5995.73</v>
      </c>
      <c r="E24">
        <f t="shared" si="0"/>
        <v>7.3362205113193628</v>
      </c>
      <c r="F24" s="5">
        <v>1</v>
      </c>
      <c r="G24">
        <f t="shared" si="1"/>
        <v>8.6988028281885938</v>
      </c>
      <c r="H24">
        <f t="shared" si="2"/>
        <v>10.12000922754145</v>
      </c>
      <c r="I24">
        <f t="shared" si="3"/>
        <v>7.3444885164553479</v>
      </c>
      <c r="J24">
        <f t="shared" si="4"/>
        <v>-8.2680051359851348E-3</v>
      </c>
    </row>
    <row r="25" spans="1:10" ht="15.75" thickBot="1">
      <c r="A25" s="2">
        <v>1985</v>
      </c>
      <c r="B25" s="2">
        <v>1574.9</v>
      </c>
      <c r="C25" s="2">
        <v>25004</v>
      </c>
      <c r="D25" s="2">
        <v>6146.2830000000004</v>
      </c>
      <c r="E25">
        <f t="shared" si="0"/>
        <v>7.3619470571805348</v>
      </c>
      <c r="F25" s="5">
        <v>1</v>
      </c>
      <c r="G25">
        <f t="shared" si="1"/>
        <v>8.723602787839253</v>
      </c>
      <c r="H25">
        <f t="shared" si="2"/>
        <v>10.126791091051704</v>
      </c>
      <c r="I25">
        <f t="shared" si="3"/>
        <v>7.3709657972002383</v>
      </c>
      <c r="J25">
        <f t="shared" si="4"/>
        <v>-9.0187400197034862E-3</v>
      </c>
    </row>
    <row r="26" spans="1:10">
      <c r="A26" t="s">
        <v>38</v>
      </c>
      <c r="C26" s="3">
        <v>26000</v>
      </c>
      <c r="D26" s="3">
        <v>6500</v>
      </c>
      <c r="G26">
        <f t="shared" si="1"/>
        <v>8.7795574558837277</v>
      </c>
      <c r="H26">
        <f t="shared" si="2"/>
        <v>10.165851817003619</v>
      </c>
      <c r="I26">
        <f t="shared" si="3"/>
        <v>7.4594968087697042</v>
      </c>
    </row>
    <row r="27" spans="1:10">
      <c r="F27" t="s">
        <v>39</v>
      </c>
      <c r="G27">
        <f>AVERAGE(G2:G25)</f>
        <v>8.2507070793938535</v>
      </c>
      <c r="H27">
        <f>AVERAGE(H2:H25)</f>
        <v>10.155904599879392</v>
      </c>
    </row>
    <row r="28" spans="1:10">
      <c r="A28" t="s">
        <v>40</v>
      </c>
      <c r="B28" t="s">
        <v>41</v>
      </c>
    </row>
    <row r="29" spans="1:10">
      <c r="A29">
        <v>24</v>
      </c>
      <c r="B29">
        <v>2</v>
      </c>
      <c r="E29" t="s">
        <v>42</v>
      </c>
      <c r="F29" t="s">
        <v>43</v>
      </c>
      <c r="G29" t="s">
        <v>44</v>
      </c>
      <c r="H29" s="7" t="s">
        <v>45</v>
      </c>
      <c r="I29" t="s">
        <v>46</v>
      </c>
      <c r="J29" s="7" t="s">
        <v>47</v>
      </c>
    </row>
    <row r="30" spans="1:10">
      <c r="E30">
        <f>I26</f>
        <v>7.4594968087697042</v>
      </c>
      <c r="F30">
        <f>$E$30-$H$30</f>
        <v>7.4152541794264373</v>
      </c>
      <c r="G30">
        <f>$E$30+$H$30</f>
        <v>7.5037394381129712</v>
      </c>
      <c r="H30">
        <f>I30*J30</f>
        <v>4.4242629343266664E-2</v>
      </c>
      <c r="I30">
        <f>_xlfn.T.INV.2T(0.05,A29-B29-1)</f>
        <v>2.07961384472768</v>
      </c>
      <c r="J30">
        <f>A35*SQRT(1+1/A29+M39)</f>
        <v>2.1274444510663529E-2</v>
      </c>
    </row>
    <row r="31" spans="1:10">
      <c r="A31" s="6" t="s">
        <v>48</v>
      </c>
      <c r="B31" s="7" t="s">
        <v>49</v>
      </c>
      <c r="C31" s="7" t="s">
        <v>50</v>
      </c>
    </row>
    <row r="32" spans="1:10">
      <c r="A32">
        <f t="array" ref="A32:C32">LINEST(E2:E25,G2:H25)</f>
        <v>1.2118206508853753</v>
      </c>
      <c r="B32">
        <v>0.73624629833595701</v>
      </c>
      <c r="C32">
        <v>-11.323609034838142</v>
      </c>
    </row>
    <row r="33" spans="1:13">
      <c r="E33" t="s">
        <v>51</v>
      </c>
      <c r="F33" t="s">
        <v>52</v>
      </c>
      <c r="G33" t="s">
        <v>53</v>
      </c>
      <c r="I33" t="s">
        <v>54</v>
      </c>
    </row>
    <row r="34" spans="1:13">
      <c r="A34" s="7" t="s">
        <v>55</v>
      </c>
      <c r="E34">
        <f>EXP(E30)</f>
        <v>1736.274159567959</v>
      </c>
      <c r="F34">
        <f t="shared" ref="F34:G34" si="5">EXP(F30)</f>
        <v>1661.1313401520817</v>
      </c>
      <c r="G34">
        <f t="shared" si="5"/>
        <v>1814.8161342301942</v>
      </c>
      <c r="I34">
        <f t="array" ref="I34:K36">MMULT(TRANSPOSE(F2:H25),F2:H25)</f>
        <v>24</v>
      </c>
      <c r="J34">
        <v>198.0169699054525</v>
      </c>
      <c r="K34">
        <v>243.74171039710541</v>
      </c>
    </row>
    <row r="35" spans="1:13">
      <c r="A35">
        <f>SQRT(SUMSQ(J2:J25)/(A29-B29-1))</f>
        <v>1.7810851496361284E-2</v>
      </c>
      <c r="I35">
        <v>198.0169699054525</v>
      </c>
      <c r="J35">
        <v>1636.4625134813182</v>
      </c>
      <c r="K35">
        <v>2010.9111642887319</v>
      </c>
    </row>
    <row r="36" spans="1:13">
      <c r="I36">
        <v>243.74171039710541</v>
      </c>
      <c r="J36">
        <v>2010.9111642887319</v>
      </c>
      <c r="K36">
        <v>2475.4284078583505</v>
      </c>
    </row>
    <row r="38" spans="1:13" ht="17.25">
      <c r="I38" t="s">
        <v>56</v>
      </c>
    </row>
    <row r="39" spans="1:13">
      <c r="G39" t="s">
        <v>57</v>
      </c>
      <c r="H39" t="s">
        <v>58</v>
      </c>
      <c r="I39">
        <f t="array" ref="I39:K41">MINVERSE(I34:K36)</f>
        <v>24671.656650680728</v>
      </c>
      <c r="J39">
        <v>-116.47243461410444</v>
      </c>
      <c r="K39">
        <v>-2334.6650030043425</v>
      </c>
      <c r="M39" cm="1">
        <f t="array" ref="M39">MMULT(G40:H40,MMULT(J40:K41,TRANSPOSE(G40:H40)))</f>
        <v>0.38508074455712304</v>
      </c>
    </row>
    <row r="40" spans="1:13">
      <c r="G40">
        <f>G26-G27</f>
        <v>0.52885037648987421</v>
      </c>
      <c r="H40">
        <f>H26-H27</f>
        <v>9.9472171242265262E-3</v>
      </c>
      <c r="I40">
        <v>-116.47243461388473</v>
      </c>
      <c r="J40">
        <v>0.89452193399147739</v>
      </c>
      <c r="K40">
        <v>10.741731087324679</v>
      </c>
    </row>
    <row r="41" spans="1:13">
      <c r="I41">
        <v>-2334.6650030045207</v>
      </c>
      <c r="J41">
        <v>10.741731087346313</v>
      </c>
      <c r="K41">
        <v>221.15589056477359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CDE84B17C84B64A8B984CF56A1D6DD1" ma:contentTypeVersion="8" ma:contentTypeDescription="Створення нового документа." ma:contentTypeScope="" ma:versionID="b0a04ec3306bf5035b9005d0ed3e2c53">
  <xsd:schema xmlns:xsd="http://www.w3.org/2001/XMLSchema" xmlns:xs="http://www.w3.org/2001/XMLSchema" xmlns:p="http://schemas.microsoft.com/office/2006/metadata/properties" xmlns:ns2="f3438e1d-c5e4-416e-ab29-2c60a49a615e" targetNamespace="http://schemas.microsoft.com/office/2006/metadata/properties" ma:root="true" ma:fieldsID="270b85376cde0d61f316df26405fdfd8" ns2:_="">
    <xsd:import namespace="f3438e1d-c5e4-416e-ab29-2c60a49a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38e1d-c5e4-416e-ab29-2c60a49a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37A0AC-E285-45A9-89BA-36593C6A90F4}"/>
</file>

<file path=customXml/itemProps2.xml><?xml version="1.0" encoding="utf-8"?>
<ds:datastoreItem xmlns:ds="http://schemas.openxmlformats.org/officeDocument/2006/customXml" ds:itemID="{C7862D12-B0EB-4CB1-9309-082581BB2E2C}"/>
</file>

<file path=customXml/itemProps3.xml><?xml version="1.0" encoding="utf-8"?>
<ds:datastoreItem xmlns:ds="http://schemas.openxmlformats.org/officeDocument/2006/customXml" ds:itemID="{624B8435-F405-403D-8737-660EE3C67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Трофімов Олександр Володимирович</dc:creator>
  <cp:keywords/>
  <dc:description/>
  <cp:lastModifiedBy>Пацалюк Дмитро Сергійович</cp:lastModifiedBy>
  <cp:revision/>
  <dcterms:created xsi:type="dcterms:W3CDTF">2024-10-22T09:13:28Z</dcterms:created>
  <dcterms:modified xsi:type="dcterms:W3CDTF">2024-11-13T20:46:03Z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0x0101004CDE84B17C84B64A8B984CF56A1D6DD1</vt:lpwstr>
  </property>
  <property fmtid="{D5CDD505-2E9C-101B-9397-08002B2CF9AE}" pid="3" name="MediaServiceImageTags">
    <vt:lpwstr/>
  </property>
</Properties>
</file>