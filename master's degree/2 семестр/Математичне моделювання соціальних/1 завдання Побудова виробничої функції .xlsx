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aura\Documents\univer+course\univer\магістратура\2 семестр\ВД\Математичне моделювання соціальних\Лабораторні занняття Макроекономічні виробничі функції\"/>
    </mc:Choice>
  </mc:AlternateContent>
  <xr:revisionPtr revIDLastSave="0" documentId="13_ncr:1_{9E306094-EAB4-4858-A617-43A3CACD592F}" xr6:coauthVersionLast="47" xr6:coauthVersionMax="47" xr10:uidLastSave="{00000000-0000-0000-0000-000000000000}"/>
  <bookViews>
    <workbookView xWindow="-90" yWindow="0" windowWidth="12980" windowHeight="15370" activeTab="2" xr2:uid="{00000000-000D-0000-FFFF-FFFF00000000}"/>
  </bookViews>
  <sheets>
    <sheet name="Аркуш3" sheetId="3" r:id="rId1"/>
    <sheet name="Аркуш4" sheetId="4" r:id="rId2"/>
    <sheet name="Аркуш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 a="1"/>
  <c r="H36" i="1" s="1"/>
  <c r="H38" i="1" s="1"/>
  <c r="J29" i="1" s="1"/>
  <c r="H29" i="1" s="1"/>
  <c r="I33" i="1"/>
  <c r="H33" i="1"/>
  <c r="H27" i="1"/>
  <c r="G27" i="1"/>
  <c r="J39" i="1" a="1"/>
  <c r="J39" i="1" s="1"/>
  <c r="J33" i="1" a="1"/>
  <c r="J33" i="1" s="1"/>
  <c r="G29" i="1" l="1"/>
  <c r="G32" i="1" s="1"/>
  <c r="F29" i="1"/>
  <c r="F32" i="1" s="1"/>
  <c r="I29" i="1" l="1"/>
  <c r="E32" i="1"/>
  <c r="E29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6" i="1"/>
  <c r="G26" i="1"/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J4" i="1"/>
  <c r="J6" i="1"/>
  <c r="J2" i="1"/>
  <c r="A31" i="1" a="1"/>
  <c r="B31" i="1" s="1"/>
  <c r="A31" i="1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J5" i="1" l="1"/>
  <c r="A3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<sst xmlns="http://schemas.openxmlformats.org/spreadsheetml/2006/main" count="89" uniqueCount="56">
  <si>
    <t>X
(у
відн.од.)</t>
  </si>
  <si>
    <t>t
номер періоду</t>
  </si>
  <si>
    <t>K
(у
відн.од.)</t>
  </si>
  <si>
    <t>L
(у
відн.од.)</t>
  </si>
  <si>
    <t>lnX(Z)</t>
  </si>
  <si>
    <t>lnK(x_1)</t>
  </si>
  <si>
    <t>X_0</t>
  </si>
  <si>
    <t>lnL(x_2)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</si>
  <si>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</si>
  <si>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</si>
  <si>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</si>
  <si>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</si>
  <si>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</si>
  <si>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</si>
  <si>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</si>
  <si>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</si>
  <si>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</si>
  <si>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</si>
  <si>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</si>
  <si>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</si>
  <si>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</si>
  <si>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</si>
  <si>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</si>
  <si>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</si>
  <si>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</si>
  <si>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</si>
  <si>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</si>
  <si>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</si>
  <si>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</si>
  <si>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</si>
  <si>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</si>
  <si>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</si>
  <si>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</si>
  <si>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</si>
  <si>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lnX(Z)</t>
  </si>
  <si>
    <t>Residuals</t>
  </si>
  <si>
    <t>а_0</t>
  </si>
  <si>
    <t>а_2</t>
  </si>
  <si>
    <t>а_1</t>
  </si>
  <si>
    <t>Z^</t>
  </si>
  <si>
    <t>e</t>
  </si>
  <si>
    <t>σ^</t>
  </si>
  <si>
    <t>у прогнозне</t>
  </si>
  <si>
    <t xml:space="preserve">ВВП прогнозне </t>
  </si>
  <si>
    <r>
      <t>t</t>
    </r>
    <r>
      <rPr>
        <sz val="11"/>
        <color theme="1"/>
        <rFont val="Aptos Narrow"/>
        <family val="2"/>
      </rPr>
      <t>α, N-m-1</t>
    </r>
  </si>
  <si>
    <t>σ y прогозоване</t>
  </si>
  <si>
    <t>y прогнозне (-)</t>
  </si>
  <si>
    <t>y прогнозне (+)</t>
  </si>
  <si>
    <r>
      <rPr>
        <sz val="11"/>
        <color theme="1"/>
        <rFont val="Aptos Narrow"/>
        <family val="2"/>
      </rPr>
      <t>Δ</t>
    </r>
    <r>
      <rPr>
        <sz val="8.8000000000000007"/>
        <color theme="1"/>
        <rFont val="Calibri"/>
        <family val="2"/>
      </rPr>
      <t xml:space="preserve"> у прогнозне</t>
    </r>
  </si>
  <si>
    <t>А матриця транспонована</t>
  </si>
  <si>
    <t>С=А^(-1)- матриця</t>
  </si>
  <si>
    <t>х середнє</t>
  </si>
  <si>
    <t>х_1 прогнозоване - х середнє</t>
  </si>
  <si>
    <t>х_2 прогнозоване - х середнє</t>
  </si>
  <si>
    <t>ВВП прогнозне  -</t>
  </si>
  <si>
    <t>ВВП прогнозне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</si>
</sst>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.8000000000000007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Continuous"/>
    </xf>
    <xf numFmtId="0" fontId="3" fillId="0" borderId="0" xfId="0" applyFont="1"/>
    <xf numFmtId="0" fontId="5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lnK(x_1)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Аркуш1!$G$2:$G$25</c:f>
              <c:numCache>
                <c:formatCode>General</c:formatCode>
                <c:ptCount val="24"/>
                <c:pt idx="0">
                  <c:v>4.6051701859880918</c:v>
                </c:pt>
                <c:pt idx="1">
                  <c:v>4.6728288344619058</c:v>
                </c:pt>
                <c:pt idx="2">
                  <c:v>4.7361984483944957</c:v>
                </c:pt>
                <c:pt idx="3">
                  <c:v>4.8040210447332568</c:v>
                </c:pt>
                <c:pt idx="4">
                  <c:v>4.8751973232011512</c:v>
                </c:pt>
                <c:pt idx="5">
                  <c:v>4.9272536851572051</c:v>
                </c:pt>
                <c:pt idx="6">
                  <c:v>5.0039463059454592</c:v>
                </c:pt>
                <c:pt idx="7">
                  <c:v>5.0937502008067623</c:v>
                </c:pt>
                <c:pt idx="8">
                  <c:v>5.1704839950381514</c:v>
                </c:pt>
                <c:pt idx="9">
                  <c:v>5.2203558250783244</c:v>
                </c:pt>
                <c:pt idx="10">
                  <c:v>5.2882670306945352</c:v>
                </c:pt>
                <c:pt idx="11">
                  <c:v>5.3375380797013179</c:v>
                </c:pt>
                <c:pt idx="12">
                  <c:v>5.3752784076841653</c:v>
                </c:pt>
                <c:pt idx="13">
                  <c:v>5.4205349992722862</c:v>
                </c:pt>
                <c:pt idx="14">
                  <c:v>5.4638318050256105</c:v>
                </c:pt>
                <c:pt idx="15">
                  <c:v>5.4971682252932021</c:v>
                </c:pt>
                <c:pt idx="16">
                  <c:v>5.5834963087816991</c:v>
                </c:pt>
                <c:pt idx="17">
                  <c:v>5.6970934865054046</c:v>
                </c:pt>
                <c:pt idx="18">
                  <c:v>5.8141305318250662</c:v>
                </c:pt>
                <c:pt idx="19">
                  <c:v>5.9026333334013659</c:v>
                </c:pt>
                <c:pt idx="20">
                  <c:v>5.9584246930297819</c:v>
                </c:pt>
                <c:pt idx="21">
                  <c:v>6.0088131854425946</c:v>
                </c:pt>
                <c:pt idx="22">
                  <c:v>6.0330862217988015</c:v>
                </c:pt>
                <c:pt idx="23">
                  <c:v>6.0661080901037474</c:v>
                </c:pt>
              </c:numCache>
            </c:numRef>
          </c:xVal>
          <c:yVal>
            <c:numRef>
              <c:f>Аркуш3!$C$26:$C$49</c:f>
              <c:numCache>
                <c:formatCode>General</c:formatCode>
                <c:ptCount val="24"/>
                <c:pt idx="0">
                  <c:v>-8.3515237019513577E-3</c:v>
                </c:pt>
                <c:pt idx="1">
                  <c:v>-5.0899704862158224E-2</c:v>
                </c:pt>
                <c:pt idx="2">
                  <c:v>-1.5065640261635593E-4</c:v>
                </c:pt>
                <c:pt idx="3">
                  <c:v>2.0179161865378603E-2</c:v>
                </c:pt>
                <c:pt idx="4">
                  <c:v>-1.1126219812115146E-2</c:v>
                </c:pt>
                <c:pt idx="5">
                  <c:v>5.0514656694922166E-4</c:v>
                </c:pt>
                <c:pt idx="6">
                  <c:v>8.0642891684521878E-2</c:v>
                </c:pt>
                <c:pt idx="7">
                  <c:v>6.5264572951183375E-2</c:v>
                </c:pt>
                <c:pt idx="8">
                  <c:v>7.9911549375060176E-3</c:v>
                </c:pt>
                <c:pt idx="9">
                  <c:v>-8.7850124687741449E-2</c:v>
                </c:pt>
                <c:pt idx="10">
                  <c:v>-9.9127001677983273E-3</c:v>
                </c:pt>
                <c:pt idx="11">
                  <c:v>-1.9252611569925193E-2</c:v>
                </c:pt>
                <c:pt idx="12">
                  <c:v>-7.2680051107337995E-2</c:v>
                </c:pt>
                <c:pt idx="13">
                  <c:v>2.7055221190168233E-2</c:v>
                </c:pt>
                <c:pt idx="14">
                  <c:v>4.9321336149670714E-2</c:v>
                </c:pt>
                <c:pt idx="15">
                  <c:v>-2.401354937990785E-2</c:v>
                </c:pt>
                <c:pt idx="16">
                  <c:v>4.8767223511857694E-2</c:v>
                </c:pt>
                <c:pt idx="17">
                  <c:v>7.2009665212052099E-2</c:v>
                </c:pt>
                <c:pt idx="18">
                  <c:v>-6.2400011076784168E-3</c:v>
                </c:pt>
                <c:pt idx="19">
                  <c:v>-5.9547990908536796E-2</c:v>
                </c:pt>
                <c:pt idx="20">
                  <c:v>-7.5829971375391381E-2</c:v>
                </c:pt>
                <c:pt idx="21">
                  <c:v>-2.4369239298767553E-2</c:v>
                </c:pt>
                <c:pt idx="22">
                  <c:v>-6.8115815644974376E-2</c:v>
                </c:pt>
                <c:pt idx="23">
                  <c:v>0.146603785957649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59-4BB5-AE74-E36EC8E8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765855"/>
        <c:axId val="1523765375"/>
      </c:scatterChart>
      <c:valAx>
        <c:axId val="152376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lnK(x_1)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765375"/>
        <c:crosses val="autoZero"/>
        <c:crossBetween val="midCat"/>
      </c:valAx>
      <c:valAx>
        <c:axId val="1523765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7658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lnL(x_2)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Аркуш1!$H$2:$H$25</c:f>
              <c:numCache>
                <c:formatCode>General</c:formatCode>
                <c:ptCount val="24"/>
                <c:pt idx="0">
                  <c:v>4.6051701859880918</c:v>
                </c:pt>
                <c:pt idx="1">
                  <c:v>4.6520537718869415</c:v>
                </c:pt>
                <c:pt idx="2">
                  <c:v>4.7004803657924166</c:v>
                </c:pt>
                <c:pt idx="3">
                  <c:v>4.7638818771429126</c:v>
                </c:pt>
                <c:pt idx="4">
                  <c:v>4.8032010364872262</c:v>
                </c:pt>
                <c:pt idx="5">
                  <c:v>4.7501359562382772</c:v>
                </c:pt>
                <c:pt idx="6">
                  <c:v>4.8283137373023015</c:v>
                </c:pt>
                <c:pt idx="7">
                  <c:v>4.8993312245375815</c:v>
                </c:pt>
                <c:pt idx="8">
                  <c:v>4.9409278816714357</c:v>
                </c:pt>
                <c:pt idx="9">
                  <c:v>4.8138090510994198</c:v>
                </c:pt>
                <c:pt idx="10">
                  <c:v>4.9607445244827906</c:v>
                </c:pt>
                <c:pt idx="11">
                  <c:v>4.990432586778736</c:v>
                </c:pt>
                <c:pt idx="12">
                  <c:v>4.9978877212737531</c:v>
                </c:pt>
                <c:pt idx="13">
                  <c:v>5.0434251169192468</c:v>
                </c:pt>
                <c:pt idx="14">
                  <c:v>5.0511372374055856</c:v>
                </c:pt>
                <c:pt idx="15">
                  <c:v>5.0251954454275856</c:v>
                </c:pt>
                <c:pt idx="16">
                  <c:v>5.0485731334366477</c:v>
                </c:pt>
                <c:pt idx="17">
                  <c:v>5.2094861528414214</c:v>
                </c:pt>
                <c:pt idx="18">
                  <c:v>5.2857385843411766</c:v>
                </c:pt>
                <c:pt idx="19">
                  <c:v>5.3038022967786063</c:v>
                </c:pt>
                <c:pt idx="20">
                  <c:v>5.2776043249504951</c:v>
                </c:pt>
                <c:pt idx="21">
                  <c:v>5.2699178920263385</c:v>
                </c:pt>
                <c:pt idx="22">
                  <c:v>4.9863426015272116</c:v>
                </c:pt>
                <c:pt idx="23">
                  <c:v>5.0782939425700704</c:v>
                </c:pt>
              </c:numCache>
            </c:numRef>
          </c:xVal>
          <c:yVal>
            <c:numRef>
              <c:f>Аркуш3!$C$26:$C$49</c:f>
              <c:numCache>
                <c:formatCode>General</c:formatCode>
                <c:ptCount val="24"/>
                <c:pt idx="0">
                  <c:v>-8.3515237019513577E-3</c:v>
                </c:pt>
                <c:pt idx="1">
                  <c:v>-5.0899704862158224E-2</c:v>
                </c:pt>
                <c:pt idx="2">
                  <c:v>-1.5065640261635593E-4</c:v>
                </c:pt>
                <c:pt idx="3">
                  <c:v>2.0179161865378603E-2</c:v>
                </c:pt>
                <c:pt idx="4">
                  <c:v>-1.1126219812115146E-2</c:v>
                </c:pt>
                <c:pt idx="5">
                  <c:v>5.0514656694922166E-4</c:v>
                </c:pt>
                <c:pt idx="6">
                  <c:v>8.0642891684521878E-2</c:v>
                </c:pt>
                <c:pt idx="7">
                  <c:v>6.5264572951183375E-2</c:v>
                </c:pt>
                <c:pt idx="8">
                  <c:v>7.9911549375060176E-3</c:v>
                </c:pt>
                <c:pt idx="9">
                  <c:v>-8.7850124687741449E-2</c:v>
                </c:pt>
                <c:pt idx="10">
                  <c:v>-9.9127001677983273E-3</c:v>
                </c:pt>
                <c:pt idx="11">
                  <c:v>-1.9252611569925193E-2</c:v>
                </c:pt>
                <c:pt idx="12">
                  <c:v>-7.2680051107337995E-2</c:v>
                </c:pt>
                <c:pt idx="13">
                  <c:v>2.7055221190168233E-2</c:v>
                </c:pt>
                <c:pt idx="14">
                  <c:v>4.9321336149670714E-2</c:v>
                </c:pt>
                <c:pt idx="15">
                  <c:v>-2.401354937990785E-2</c:v>
                </c:pt>
                <c:pt idx="16">
                  <c:v>4.8767223511857694E-2</c:v>
                </c:pt>
                <c:pt idx="17">
                  <c:v>7.2009665212052099E-2</c:v>
                </c:pt>
                <c:pt idx="18">
                  <c:v>-6.2400011076784168E-3</c:v>
                </c:pt>
                <c:pt idx="19">
                  <c:v>-5.9547990908536796E-2</c:v>
                </c:pt>
                <c:pt idx="20">
                  <c:v>-7.5829971375391381E-2</c:v>
                </c:pt>
                <c:pt idx="21">
                  <c:v>-2.4369239298767553E-2</c:v>
                </c:pt>
                <c:pt idx="22">
                  <c:v>-6.8115815644974376E-2</c:v>
                </c:pt>
                <c:pt idx="23">
                  <c:v>0.146603785957649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A4-4925-BA0A-9BBC749E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828655"/>
        <c:axId val="1468829615"/>
      </c:scatterChart>
      <c:valAx>
        <c:axId val="1468828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lnL(x_2)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8829615"/>
        <c:crosses val="autoZero"/>
        <c:crossBetween val="midCat"/>
      </c:valAx>
      <c:valAx>
        <c:axId val="1468829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88286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lnL(x_2)  Residual Plot</a:t>
            </a:r>
          </a:p>
        </c:rich>
      </c:tx>
      <c:layout>
        <c:manualLayout>
          <c:xMode val="edge"/>
          <c:yMode val="edge"/>
          <c:x val="0.20739583333333333"/>
          <c:y val="4.095563139931740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Аркуш1!$H$2:$H$25</c:f>
              <c:numCache>
                <c:formatCode>General</c:formatCode>
                <c:ptCount val="24"/>
                <c:pt idx="0">
                  <c:v>4.6051701859880918</c:v>
                </c:pt>
                <c:pt idx="1">
                  <c:v>4.6520537718869415</c:v>
                </c:pt>
                <c:pt idx="2">
                  <c:v>4.7004803657924166</c:v>
                </c:pt>
                <c:pt idx="3">
                  <c:v>4.7638818771429126</c:v>
                </c:pt>
                <c:pt idx="4">
                  <c:v>4.8032010364872262</c:v>
                </c:pt>
                <c:pt idx="5">
                  <c:v>4.7501359562382772</c:v>
                </c:pt>
                <c:pt idx="6">
                  <c:v>4.8283137373023015</c:v>
                </c:pt>
                <c:pt idx="7">
                  <c:v>4.8993312245375815</c:v>
                </c:pt>
                <c:pt idx="8">
                  <c:v>4.9409278816714357</c:v>
                </c:pt>
                <c:pt idx="9">
                  <c:v>4.8138090510994198</c:v>
                </c:pt>
                <c:pt idx="10">
                  <c:v>4.9607445244827906</c:v>
                </c:pt>
                <c:pt idx="11">
                  <c:v>4.990432586778736</c:v>
                </c:pt>
                <c:pt idx="12">
                  <c:v>4.9978877212737531</c:v>
                </c:pt>
                <c:pt idx="13">
                  <c:v>5.0434251169192468</c:v>
                </c:pt>
                <c:pt idx="14">
                  <c:v>5.0511372374055856</c:v>
                </c:pt>
                <c:pt idx="15">
                  <c:v>5.0251954454275856</c:v>
                </c:pt>
                <c:pt idx="16">
                  <c:v>5.0485731334366477</c:v>
                </c:pt>
                <c:pt idx="17">
                  <c:v>5.2094861528414214</c:v>
                </c:pt>
                <c:pt idx="18">
                  <c:v>5.2857385843411766</c:v>
                </c:pt>
                <c:pt idx="19">
                  <c:v>5.3038022967786063</c:v>
                </c:pt>
                <c:pt idx="20">
                  <c:v>5.2776043249504951</c:v>
                </c:pt>
                <c:pt idx="21">
                  <c:v>5.2699178920263385</c:v>
                </c:pt>
                <c:pt idx="22">
                  <c:v>4.9863426015272116</c:v>
                </c:pt>
                <c:pt idx="23">
                  <c:v>5.0782939425700704</c:v>
                </c:pt>
              </c:numCache>
            </c:numRef>
          </c:xVal>
          <c:yVal>
            <c:numRef>
              <c:f>Аркуш4!$C$25:$C$48</c:f>
              <c:numCache>
                <c:formatCode>General</c:formatCode>
                <c:ptCount val="24"/>
                <c:pt idx="0">
                  <c:v>-1.050767925765328E-2</c:v>
                </c:pt>
                <c:pt idx="1">
                  <c:v>-5.9844268192373207E-2</c:v>
                </c:pt>
                <c:pt idx="2">
                  <c:v>-1.7704053557212163E-2</c:v>
                </c:pt>
                <c:pt idx="3">
                  <c:v>-1.2356641622520925E-2</c:v>
                </c:pt>
                <c:pt idx="4">
                  <c:v>-4.5817399562537275E-2</c:v>
                </c:pt>
                <c:pt idx="5">
                  <c:v>5.0258451147779937E-3</c:v>
                </c:pt>
                <c:pt idx="6">
                  <c:v>6.4989248633643193E-2</c:v>
                </c:pt>
                <c:pt idx="7">
                  <c:v>3.6219549725656996E-2</c:v>
                </c:pt>
                <c:pt idx="8">
                  <c:v>-2.2982436609229495E-2</c:v>
                </c:pt>
                <c:pt idx="9">
                  <c:v>-4.3231486728001478E-2</c:v>
                </c:pt>
                <c:pt idx="10">
                  <c:v>-2.1896411045648989E-2</c:v>
                </c:pt>
                <c:pt idx="11">
                  <c:v>-3.3959543010104731E-2</c:v>
                </c:pt>
                <c:pt idx="12">
                  <c:v>-8.1853258884520663E-2</c:v>
                </c:pt>
                <c:pt idx="13">
                  <c:v>6.2739654692274271E-3</c:v>
                </c:pt>
                <c:pt idx="14">
                  <c:v>3.5307582280863059E-2</c:v>
                </c:pt>
                <c:pt idx="15">
                  <c:v>-1.6924611742833662E-2</c:v>
                </c:pt>
                <c:pt idx="16">
                  <c:v>6.5361292786672465E-2</c:v>
                </c:pt>
                <c:pt idx="17">
                  <c:v>3.623115597788118E-2</c:v>
                </c:pt>
                <c:pt idx="18">
                  <c:v>-5.134469841187439E-2</c:v>
                </c:pt>
                <c:pt idx="19">
                  <c:v>-9.1965520354290398E-2</c:v>
                </c:pt>
                <c:pt idx="20">
                  <c:v>-8.1513426596905525E-2</c:v>
                </c:pt>
                <c:pt idx="21">
                  <c:v>-1.3870854001528876E-2</c:v>
                </c:pt>
                <c:pt idx="22">
                  <c:v>8.9694075994735556E-2</c:v>
                </c:pt>
                <c:pt idx="23">
                  <c:v>0.26666957359381094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0B-4267-810A-95249D88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61743"/>
        <c:axId val="260762703"/>
      </c:scatterChart>
      <c:valAx>
        <c:axId val="26076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lnL(x_2)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0762703"/>
        <c:crosses val="autoZero"/>
        <c:crossBetween val="midCat"/>
      </c:valAx>
      <c:valAx>
        <c:axId val="260762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076174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Аркуш1!$H$2:$H$25</c:f>
              <c:numCache>
                <c:formatCode>General</c:formatCode>
                <c:ptCount val="24"/>
                <c:pt idx="0">
                  <c:v>4.6051701859880918</c:v>
                </c:pt>
                <c:pt idx="1">
                  <c:v>4.6520537718869415</c:v>
                </c:pt>
                <c:pt idx="2">
                  <c:v>4.7004803657924166</c:v>
                </c:pt>
                <c:pt idx="3">
                  <c:v>4.7638818771429126</c:v>
                </c:pt>
                <c:pt idx="4">
                  <c:v>4.8032010364872262</c:v>
                </c:pt>
                <c:pt idx="5">
                  <c:v>4.7501359562382772</c:v>
                </c:pt>
                <c:pt idx="6">
                  <c:v>4.8283137373023015</c:v>
                </c:pt>
                <c:pt idx="7">
                  <c:v>4.8993312245375815</c:v>
                </c:pt>
                <c:pt idx="8">
                  <c:v>4.9409278816714357</c:v>
                </c:pt>
                <c:pt idx="9">
                  <c:v>4.8138090510994198</c:v>
                </c:pt>
                <c:pt idx="10">
                  <c:v>4.9607445244827906</c:v>
                </c:pt>
                <c:pt idx="11">
                  <c:v>4.990432586778736</c:v>
                </c:pt>
                <c:pt idx="12">
                  <c:v>4.9978877212737531</c:v>
                </c:pt>
                <c:pt idx="13">
                  <c:v>5.0434251169192468</c:v>
                </c:pt>
                <c:pt idx="14">
                  <c:v>5.0511372374055856</c:v>
                </c:pt>
                <c:pt idx="15">
                  <c:v>5.0251954454275856</c:v>
                </c:pt>
                <c:pt idx="16">
                  <c:v>5.0485731334366477</c:v>
                </c:pt>
                <c:pt idx="17">
                  <c:v>5.2094861528414214</c:v>
                </c:pt>
                <c:pt idx="18">
                  <c:v>5.2857385843411766</c:v>
                </c:pt>
                <c:pt idx="19">
                  <c:v>5.3038022967786063</c:v>
                </c:pt>
                <c:pt idx="20">
                  <c:v>5.2776043249504951</c:v>
                </c:pt>
                <c:pt idx="21">
                  <c:v>5.2699178920263385</c:v>
                </c:pt>
                <c:pt idx="22">
                  <c:v>4.9863426015272116</c:v>
                </c:pt>
                <c:pt idx="23">
                  <c:v>5.0782939425700704</c:v>
                </c:pt>
              </c:numCache>
            </c:numRef>
          </c:xVal>
          <c:yVal>
            <c:numRef>
              <c:f>Аркуш1!$J$2:$J$25</c:f>
              <c:numCache>
                <c:formatCode>General</c:formatCode>
                <c:ptCount val="24"/>
                <c:pt idx="0">
                  <c:v>-16.913744981126122</c:v>
                </c:pt>
                <c:pt idx="1">
                  <c:v>-17.219410768270368</c:v>
                </c:pt>
                <c:pt idx="2">
                  <c:v>-17.411757705086959</c:v>
                </c:pt>
                <c:pt idx="3">
                  <c:v>-17.643040771596802</c:v>
                </c:pt>
                <c:pt idx="4">
                  <c:v>-17.958546794168161</c:v>
                </c:pt>
                <c:pt idx="5">
                  <c:v>-18.215335688553683</c:v>
                </c:pt>
                <c:pt idx="6">
                  <c:v>-18.414917731965623</c:v>
                </c:pt>
                <c:pt idx="7">
                  <c:v>-18.773029110867604</c:v>
                </c:pt>
                <c:pt idx="8">
                  <c:v>-19.137280503548975</c:v>
                </c:pt>
                <c:pt idx="9">
                  <c:v>-19.54673993322481</c:v>
                </c:pt>
                <c:pt idx="10">
                  <c:v>-19.658974507671189</c:v>
                </c:pt>
                <c:pt idx="11">
                  <c:v>-19.863221296603342</c:v>
                </c:pt>
                <c:pt idx="12">
                  <c:v>-20.077256173554439</c:v>
                </c:pt>
                <c:pt idx="13">
                  <c:v>-20.143025407789665</c:v>
                </c:pt>
                <c:pt idx="14">
                  <c:v>-20.305635055747885</c:v>
                </c:pt>
                <c:pt idx="15">
                  <c:v>-20.544912266487444</c:v>
                </c:pt>
                <c:pt idx="16">
                  <c:v>-20.834827161625753</c:v>
                </c:pt>
                <c:pt idx="17">
                  <c:v>-21.192511531832569</c:v>
                </c:pt>
                <c:pt idx="18">
                  <c:v>-21.729494486867619</c:v>
                </c:pt>
                <c:pt idx="19">
                  <c:v>-22.159004181091539</c:v>
                </c:pt>
                <c:pt idx="20">
                  <c:v>-22.440260421535928</c:v>
                </c:pt>
                <c:pt idx="21">
                  <c:v>-22.616289530742314</c:v>
                </c:pt>
                <c:pt idx="22">
                  <c:v>-22.976780666995388</c:v>
                </c:pt>
                <c:pt idx="23">
                  <c:v>-22.839355583481332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1-42FA-98BD-63B5173D7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74335"/>
        <c:axId val="66376255"/>
      </c:scatterChart>
      <c:valAx>
        <c:axId val="6637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6376255"/>
        <c:crosses val="autoZero"/>
        <c:crossBetween val="midCat"/>
      </c:valAx>
      <c:valAx>
        <c:axId val="6637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637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DB98E15-B389-4F35-3D90-A7CAFAF8D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298450</xdr:colOff>
      <xdr:row>13</xdr:row>
      <xdr:rowOff>88900</xdr:rowOff>
    </xdr:from>
    <xdr:to>
      <xdr:col>15</xdr:col>
      <xdr:colOff>298450</xdr:colOff>
      <xdr:row>23</xdr:row>
      <xdr:rowOff>82550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1D0FD431-47C9-9F07-83FB-C84F07B1D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0</xdr:row>
      <xdr:rowOff>165100</xdr:rowOff>
    </xdr:from>
    <xdr:to>
      <xdr:col>16</xdr:col>
      <xdr:colOff>50800</xdr:colOff>
      <xdr:row>10</xdr:row>
      <xdr:rowOff>165100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5650BDE-3331-7055-8997-82A101CEF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603251</xdr:colOff>
      <xdr:row>2</xdr:row>
      <xdr:rowOff>211931</xdr:rowOff>
    </xdr:from>
    <xdr:to>
      <xdr:col>20</xdr:col>
      <xdr:colOff>285751</xdr:colOff>
      <xdr:row>14</xdr:row>
      <xdr:rowOff>97631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B38B5611-2668-65E4-30E4-8BE835E80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E106-9BB0-41C6-9B98-CC6E78276AD1}">
  <dimension ref="A1:I49"/>
  <sheetViews>
    <sheetView workbookViewId="0">
      <selection activeCell="F25" sqref="F25"/>
    </sheetView>
  </sheetViews>
  <sheetFormatPr defaultRowHeight="14.5" x14ac:dyDescent="0.35"/>
  <cols>
    <col min="1" max="1" width="17.54296875" customWidth="1"/>
    <col min="2" max="2" width="17.08984375" customWidth="1"/>
    <col min="3" max="3" width="17.7265625" customWidth="1"/>
    <col min="6" max="6" width="17.26953125" customWidth="1"/>
    <col min="7" max="7" width="12.36328125" customWidth="1"/>
    <col min="8" max="8" width="13.81640625" customWidth="1"/>
    <col min="9" max="9" width="13.7265625" customWidth="1"/>
  </cols>
  <sheetData>
    <row r="1" spans="1:9" x14ac:dyDescent="0.35">
      <c r="A1" t="s">
        <v>8</v>
      </c>
    </row>
    <row r="2" spans="1:9" ht="15" thickBot="1" x14ac:dyDescent="0.4"/>
    <row r="3" spans="1:9" x14ac:dyDescent="0.35">
      <c r="A3" s="8" t="s">
        <v>9</v>
      </c>
      <c r="B3" s="8"/>
    </row>
    <row r="4" spans="1:9" x14ac:dyDescent="0.35">
      <c r="A4" t="s">
        <v>10</v>
      </c>
      <c r="B4">
        <v>0.9772933435746598</v>
      </c>
    </row>
    <row r="5" spans="1:9" x14ac:dyDescent="0.35">
      <c r="A5" t="s">
        <v>11</v>
      </c>
      <c r="B5">
        <v>0.95510227939533809</v>
      </c>
    </row>
    <row r="6" spans="1:9" x14ac:dyDescent="0.35">
      <c r="A6" t="s">
        <v>12</v>
      </c>
      <c r="B6">
        <v>0.95082630600441798</v>
      </c>
    </row>
    <row r="7" spans="1:9" x14ac:dyDescent="0.35">
      <c r="A7" t="s">
        <v>13</v>
      </c>
      <c r="B7">
        <v>5.9703074174258505E-2</v>
      </c>
    </row>
    <row r="8" spans="1:9" ht="15" thickBot="1" x14ac:dyDescent="0.4">
      <c r="A8" s="6" t="s">
        <v>14</v>
      </c>
      <c r="B8" s="6">
        <v>24</v>
      </c>
    </row>
    <row r="10" spans="1:9" ht="15" thickBot="1" x14ac:dyDescent="0.4">
      <c r="A10" t="s">
        <v>15</v>
      </c>
    </row>
    <row r="11" spans="1:9" x14ac:dyDescent="0.35">
      <c r="A11" s="7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</row>
    <row r="12" spans="1:9" x14ac:dyDescent="0.35">
      <c r="A12" t="s">
        <v>16</v>
      </c>
      <c r="B12">
        <v>2</v>
      </c>
      <c r="C12">
        <v>1.59234904297392</v>
      </c>
      <c r="D12">
        <v>0.79617452148696</v>
      </c>
      <c r="E12">
        <v>223.36487907606022</v>
      </c>
      <c r="F12">
        <v>7.0526945781723448E-15</v>
      </c>
    </row>
    <row r="13" spans="1:9" x14ac:dyDescent="0.35">
      <c r="A13" t="s">
        <v>17</v>
      </c>
      <c r="B13">
        <v>21</v>
      </c>
      <c r="C13">
        <v>7.4853598382997266E-2</v>
      </c>
      <c r="D13">
        <v>3.5644570658570126E-3</v>
      </c>
    </row>
    <row r="14" spans="1:9" ht="15" thickBot="1" x14ac:dyDescent="0.4">
      <c r="A14" s="6" t="s">
        <v>18</v>
      </c>
      <c r="B14" s="6">
        <v>23</v>
      </c>
      <c r="C14" s="6">
        <v>1.6672026413569172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25</v>
      </c>
      <c r="C16" s="7" t="s">
        <v>13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</row>
    <row r="17" spans="1:9" x14ac:dyDescent="0.35">
      <c r="A17" t="s">
        <v>19</v>
      </c>
      <c r="B17">
        <v>-4.3018978596804036E-2</v>
      </c>
      <c r="C17">
        <v>0.42972940943770105</v>
      </c>
      <c r="D17">
        <v>-0.10010713172527375</v>
      </c>
      <c r="E17">
        <v>0.9212088247325938</v>
      </c>
      <c r="F17">
        <v>-0.93669020795009683</v>
      </c>
      <c r="G17">
        <v>0.85065225075648876</v>
      </c>
      <c r="H17">
        <v>-0.93669020795009683</v>
      </c>
      <c r="I17">
        <v>0.85065225075648876</v>
      </c>
    </row>
    <row r="18" spans="1:9" x14ac:dyDescent="0.35">
      <c r="A18" t="s">
        <v>5</v>
      </c>
      <c r="B18">
        <v>0.24509873015404371</v>
      </c>
      <c r="C18">
        <v>6.4207822370577497E-2</v>
      </c>
      <c r="D18">
        <v>3.8172721189553598</v>
      </c>
      <c r="E18">
        <v>1.0047879306655744E-3</v>
      </c>
      <c r="F18">
        <v>0.11157125381237509</v>
      </c>
      <c r="G18">
        <v>0.37862620649571233</v>
      </c>
      <c r="H18">
        <v>0.11157125381237509</v>
      </c>
      <c r="I18">
        <v>0.37862620649571233</v>
      </c>
    </row>
    <row r="19" spans="1:9" ht="15" thickBot="1" x14ac:dyDescent="0.4">
      <c r="A19" s="6" t="s">
        <v>7</v>
      </c>
      <c r="B19" s="6">
        <v>0.76605623268643019</v>
      </c>
      <c r="C19" s="6">
        <v>0.14406307073738236</v>
      </c>
      <c r="D19" s="6">
        <v>5.3175059282395907</v>
      </c>
      <c r="E19" s="6">
        <v>2.843135417012873E-5</v>
      </c>
      <c r="F19" s="6">
        <v>0.46646067626698673</v>
      </c>
      <c r="G19" s="6">
        <v>1.0656517891058737</v>
      </c>
      <c r="H19" s="6">
        <v>0.46646067626698673</v>
      </c>
      <c r="I19" s="6">
        <v>1.0656517891058737</v>
      </c>
    </row>
    <row r="23" spans="1:9" x14ac:dyDescent="0.35">
      <c r="A23" t="s">
        <v>32</v>
      </c>
    </row>
    <row r="24" spans="1:9" ht="15" thickBot="1" x14ac:dyDescent="0.4"/>
    <row r="25" spans="1:9" x14ac:dyDescent="0.35">
      <c r="A25" s="7" t="s">
        <v>33</v>
      </c>
      <c r="B25" s="7" t="s">
        <v>34</v>
      </c>
      <c r="C25" s="7" t="s">
        <v>35</v>
      </c>
    </row>
    <row r="26" spans="1:9" x14ac:dyDescent="0.35">
      <c r="A26">
        <v>1</v>
      </c>
      <c r="B26">
        <v>4.6135217096900432</v>
      </c>
      <c r="C26">
        <v>-8.3515237019513577E-3</v>
      </c>
    </row>
    <row r="27" spans="1:9" x14ac:dyDescent="0.35">
      <c r="A27">
        <v>2</v>
      </c>
      <c r="B27">
        <v>4.6660202217034179</v>
      </c>
      <c r="C27">
        <v>-5.0899704862158224E-2</v>
      </c>
    </row>
    <row r="28" spans="1:9" x14ac:dyDescent="0.35">
      <c r="A28">
        <v>3</v>
      </c>
      <c r="B28">
        <v>4.7186495276977105</v>
      </c>
      <c r="C28">
        <v>-1.5065640261635593E-4</v>
      </c>
    </row>
    <row r="29" spans="1:9" x14ac:dyDescent="0.35">
      <c r="A29">
        <v>4</v>
      </c>
      <c r="B29">
        <v>4.7838418828678781</v>
      </c>
      <c r="C29">
        <v>2.0179161865378603E-2</v>
      </c>
    </row>
    <row r="30" spans="1:9" x14ac:dyDescent="0.35">
      <c r="A30">
        <v>5</v>
      </c>
      <c r="B30">
        <v>4.8314077854171522</v>
      </c>
      <c r="C30">
        <v>-1.1126219812115146E-2</v>
      </c>
    </row>
    <row r="31" spans="1:9" x14ac:dyDescent="0.35">
      <c r="A31">
        <v>6</v>
      </c>
      <c r="B31">
        <v>4.8035158981663075</v>
      </c>
      <c r="C31">
        <v>5.0514656694922166E-4</v>
      </c>
    </row>
    <row r="32" spans="1:9" x14ac:dyDescent="0.35">
      <c r="A32">
        <v>7</v>
      </c>
      <c r="B32">
        <v>4.8822017385753851</v>
      </c>
      <c r="C32">
        <v>8.0642891684521878E-2</v>
      </c>
    </row>
    <row r="33" spans="1:3" x14ac:dyDescent="0.35">
      <c r="A33">
        <v>8</v>
      </c>
      <c r="B33">
        <v>4.9586159478950931</v>
      </c>
      <c r="C33">
        <v>6.5264572951183375E-2</v>
      </c>
    </row>
    <row r="34" spans="1:3" x14ac:dyDescent="0.35">
      <c r="A34">
        <v>9</v>
      </c>
      <c r="B34">
        <v>5.0092886818774183</v>
      </c>
      <c r="C34">
        <v>7.9911549375060176E-3</v>
      </c>
    </row>
    <row r="35" spans="1:3" x14ac:dyDescent="0.35">
      <c r="A35">
        <v>10</v>
      </c>
      <c r="B35">
        <v>4.9241320316392194</v>
      </c>
      <c r="C35">
        <v>-8.7850124687741449E-2</v>
      </c>
    </row>
    <row r="36" spans="1:3" x14ac:dyDescent="0.35">
      <c r="A36">
        <v>11</v>
      </c>
      <c r="B36">
        <v>5.0533378170870451</v>
      </c>
      <c r="C36">
        <v>-9.9127001677983273E-3</v>
      </c>
    </row>
    <row r="37" spans="1:3" x14ac:dyDescent="0.35">
      <c r="A37">
        <v>12</v>
      </c>
      <c r="B37">
        <v>5.0881568137901567</v>
      </c>
      <c r="C37">
        <v>-1.9252611569925193E-2</v>
      </c>
    </row>
    <row r="38" spans="1:3" x14ac:dyDescent="0.35">
      <c r="A38">
        <v>13</v>
      </c>
      <c r="B38">
        <v>5.1031179724997733</v>
      </c>
      <c r="C38">
        <v>-7.2680051107337995E-2</v>
      </c>
    </row>
    <row r="39" spans="1:3" x14ac:dyDescent="0.35">
      <c r="A39">
        <v>14</v>
      </c>
      <c r="B39">
        <v>5.1490945113836606</v>
      </c>
      <c r="C39">
        <v>2.7055221190168233E-2</v>
      </c>
    </row>
    <row r="40" spans="1:3" x14ac:dyDescent="0.35">
      <c r="A40">
        <v>15</v>
      </c>
      <c r="B40">
        <v>5.1656144214593152</v>
      </c>
      <c r="C40">
        <v>4.9321336149670714E-2</v>
      </c>
    </row>
    <row r="41" spans="1:3" x14ac:dyDescent="0.35">
      <c r="A41">
        <v>16</v>
      </c>
      <c r="B41">
        <v>5.1539122643029813</v>
      </c>
      <c r="C41">
        <v>-2.401354937990785E-2</v>
      </c>
    </row>
    <row r="42" spans="1:3" x14ac:dyDescent="0.35">
      <c r="A42">
        <v>17</v>
      </c>
      <c r="B42">
        <v>5.1929797915477849</v>
      </c>
      <c r="C42">
        <v>4.8767223511857694E-2</v>
      </c>
    </row>
    <row r="43" spans="1:3" x14ac:dyDescent="0.35">
      <c r="A43">
        <v>18</v>
      </c>
      <c r="B43">
        <v>5.344090736992368</v>
      </c>
      <c r="C43">
        <v>7.2009665212052099E-2</v>
      </c>
    </row>
    <row r="44" spans="1:3" x14ac:dyDescent="0.35">
      <c r="A44">
        <v>19</v>
      </c>
      <c r="B44">
        <v>5.4311900185890813</v>
      </c>
      <c r="C44">
        <v>-6.2400011076784168E-3</v>
      </c>
    </row>
    <row r="45" spans="1:3" x14ac:dyDescent="0.35">
      <c r="A45">
        <v>20</v>
      </c>
      <c r="B45">
        <v>5.4667197623686556</v>
      </c>
      <c r="C45">
        <v>-5.9547990908536796E-2</v>
      </c>
    </row>
    <row r="46" spans="1:3" x14ac:dyDescent="0.35">
      <c r="A46">
        <v>21</v>
      </c>
      <c r="B46">
        <v>5.4603250341644802</v>
      </c>
      <c r="C46">
        <v>-7.5829971375391381E-2</v>
      </c>
    </row>
    <row r="47" spans="1:3" x14ac:dyDescent="0.35">
      <c r="A47">
        <v>22</v>
      </c>
      <c r="B47">
        <v>5.4667869498205608</v>
      </c>
      <c r="C47">
        <v>-2.4369239298767553E-2</v>
      </c>
    </row>
    <row r="48" spans="1:3" x14ac:dyDescent="0.35">
      <c r="A48">
        <v>23</v>
      </c>
      <c r="B48">
        <v>5.2555016214857293</v>
      </c>
      <c r="C48">
        <v>-6.8115815644974376E-2</v>
      </c>
    </row>
    <row r="49" spans="1:3" ht="15" thickBot="1" x14ac:dyDescent="0.4">
      <c r="A49" s="6">
        <v>24</v>
      </c>
      <c r="B49" s="6">
        <v>5.3340351373843422</v>
      </c>
      <c r="C49" s="6">
        <v>0.146603785957649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D306-2A93-4D55-A397-248876A7FC85}">
  <dimension ref="A1:I48"/>
  <sheetViews>
    <sheetView topLeftCell="A3" workbookViewId="0">
      <selection activeCell="D19" sqref="D19"/>
    </sheetView>
  </sheetViews>
  <sheetFormatPr defaultRowHeight="14.5" x14ac:dyDescent="0.35"/>
  <cols>
    <col min="1" max="1" width="25.36328125" customWidth="1"/>
    <col min="2" max="2" width="13.1796875" customWidth="1"/>
    <col min="3" max="3" width="15.1796875" customWidth="1"/>
    <col min="6" max="6" width="14.81640625" customWidth="1"/>
    <col min="7" max="7" width="11.7265625" customWidth="1"/>
    <col min="8" max="8" width="13.453125" customWidth="1"/>
    <col min="9" max="9" width="12.08984375" customWidth="1"/>
  </cols>
  <sheetData>
    <row r="1" spans="1:9" x14ac:dyDescent="0.35">
      <c r="A1" t="s">
        <v>8</v>
      </c>
    </row>
    <row r="2" spans="1:9" ht="15" thickBot="1" x14ac:dyDescent="0.4"/>
    <row r="3" spans="1:9" x14ac:dyDescent="0.35">
      <c r="A3" s="8" t="s">
        <v>9</v>
      </c>
      <c r="B3" s="8"/>
    </row>
    <row r="4" spans="1:9" x14ac:dyDescent="0.35">
      <c r="A4" t="s">
        <v>10</v>
      </c>
      <c r="B4">
        <v>0.9612223802199239</v>
      </c>
    </row>
    <row r="5" spans="1:9" x14ac:dyDescent="0.35">
      <c r="A5" t="s">
        <v>11</v>
      </c>
      <c r="B5">
        <v>0.92394846423565602</v>
      </c>
    </row>
    <row r="6" spans="1:9" x14ac:dyDescent="0.35">
      <c r="A6" t="s">
        <v>12</v>
      </c>
      <c r="B6">
        <v>0.92049157624636768</v>
      </c>
    </row>
    <row r="7" spans="1:9" x14ac:dyDescent="0.35">
      <c r="A7" t="s">
        <v>13</v>
      </c>
      <c r="B7">
        <v>7.5916617328596489E-2</v>
      </c>
    </row>
    <row r="8" spans="1:9" ht="15" thickBot="1" x14ac:dyDescent="0.4">
      <c r="A8" s="6" t="s">
        <v>14</v>
      </c>
      <c r="B8" s="6">
        <v>24</v>
      </c>
    </row>
    <row r="10" spans="1:9" ht="15" thickBot="1" x14ac:dyDescent="0.4">
      <c r="A10" t="s">
        <v>15</v>
      </c>
    </row>
    <row r="11" spans="1:9" x14ac:dyDescent="0.35">
      <c r="A11" s="7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</row>
    <row r="12" spans="1:9" x14ac:dyDescent="0.35">
      <c r="A12" t="s">
        <v>16</v>
      </c>
      <c r="B12">
        <v>1</v>
      </c>
      <c r="C12">
        <v>1.5404093200513529</v>
      </c>
      <c r="D12">
        <v>1.5404093200513529</v>
      </c>
      <c r="E12">
        <v>267.27752449562632</v>
      </c>
      <c r="F12">
        <v>8.5838319367069004E-14</v>
      </c>
    </row>
    <row r="13" spans="1:9" x14ac:dyDescent="0.35">
      <c r="A13" t="s">
        <v>17</v>
      </c>
      <c r="B13">
        <v>22</v>
      </c>
      <c r="C13">
        <v>0.12679332130556423</v>
      </c>
      <c r="D13">
        <v>5.7633327866165561E-3</v>
      </c>
    </row>
    <row r="14" spans="1:9" ht="15" thickBot="1" x14ac:dyDescent="0.4">
      <c r="A14" s="6" t="s">
        <v>18</v>
      </c>
      <c r="B14" s="6">
        <v>23</v>
      </c>
      <c r="C14" s="6">
        <v>1.6672026413569172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25</v>
      </c>
      <c r="C16" s="7" t="s">
        <v>13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</row>
    <row r="17" spans="1:9" x14ac:dyDescent="0.35">
      <c r="A17" t="s">
        <v>19</v>
      </c>
      <c r="B17">
        <v>-1.207817718374927</v>
      </c>
      <c r="C17">
        <v>0.38475759042617419</v>
      </c>
      <c r="D17">
        <v>-3.1391654081134455</v>
      </c>
      <c r="E17">
        <v>4.7672746792859827E-3</v>
      </c>
      <c r="F17">
        <v>-2.0057561228314174</v>
      </c>
      <c r="G17">
        <v>-0.40987931391843657</v>
      </c>
      <c r="H17">
        <v>-2.0057561228314174</v>
      </c>
      <c r="I17">
        <v>-0.40987931391843657</v>
      </c>
    </row>
    <row r="18" spans="1:9" ht="15" thickBot="1" x14ac:dyDescent="0.4">
      <c r="A18" s="6" t="s">
        <v>7</v>
      </c>
      <c r="B18" s="6">
        <v>1.2645559986772072</v>
      </c>
      <c r="C18" s="6">
        <v>7.7349381609350371E-2</v>
      </c>
      <c r="D18" s="6">
        <v>16.348624544457142</v>
      </c>
      <c r="E18" s="6">
        <v>8.5838319367068083E-14</v>
      </c>
      <c r="F18" s="6">
        <v>1.1041431993385447</v>
      </c>
      <c r="G18" s="6">
        <v>1.4249687980158698</v>
      </c>
      <c r="H18" s="6">
        <v>1.1041431993385447</v>
      </c>
      <c r="I18" s="6">
        <v>1.4249687980158698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7" t="s">
        <v>33</v>
      </c>
      <c r="B24" s="7" t="s">
        <v>34</v>
      </c>
      <c r="C24" s="7" t="s">
        <v>35</v>
      </c>
    </row>
    <row r="25" spans="1:9" x14ac:dyDescent="0.35">
      <c r="A25">
        <v>1</v>
      </c>
      <c r="B25">
        <v>4.6156778652457451</v>
      </c>
      <c r="C25">
        <v>-1.050767925765328E-2</v>
      </c>
    </row>
    <row r="26" spans="1:9" x14ac:dyDescent="0.35">
      <c r="A26">
        <v>2</v>
      </c>
      <c r="B26">
        <v>4.6749647850336329</v>
      </c>
      <c r="C26">
        <v>-5.9844268192373207E-2</v>
      </c>
    </row>
    <row r="27" spans="1:9" x14ac:dyDescent="0.35">
      <c r="A27">
        <v>3</v>
      </c>
      <c r="B27">
        <v>4.7362029248523063</v>
      </c>
      <c r="C27">
        <v>-1.7704053557212163E-2</v>
      </c>
    </row>
    <row r="28" spans="1:9" x14ac:dyDescent="0.35">
      <c r="A28">
        <v>4</v>
      </c>
      <c r="B28">
        <v>4.8163776863557777</v>
      </c>
      <c r="C28">
        <v>-1.2356641622520925E-2</v>
      </c>
    </row>
    <row r="29" spans="1:9" x14ac:dyDescent="0.35">
      <c r="A29">
        <v>5</v>
      </c>
      <c r="B29">
        <v>4.8660989651675743</v>
      </c>
      <c r="C29">
        <v>-4.5817399562537275E-2</v>
      </c>
    </row>
    <row r="30" spans="1:9" x14ac:dyDescent="0.35">
      <c r="A30">
        <v>6</v>
      </c>
      <c r="B30">
        <v>4.7989951996184788</v>
      </c>
      <c r="C30">
        <v>5.0258451147779937E-3</v>
      </c>
    </row>
    <row r="31" spans="1:9" x14ac:dyDescent="0.35">
      <c r="A31">
        <v>7</v>
      </c>
      <c r="B31">
        <v>4.8978553816262638</v>
      </c>
      <c r="C31">
        <v>6.4989248633643193E-2</v>
      </c>
    </row>
    <row r="32" spans="1:9" x14ac:dyDescent="0.35">
      <c r="A32">
        <v>8</v>
      </c>
      <c r="B32">
        <v>4.9876609711206195</v>
      </c>
      <c r="C32">
        <v>3.6219549725656996E-2</v>
      </c>
    </row>
    <row r="33" spans="1:3" x14ac:dyDescent="0.35">
      <c r="A33">
        <v>9</v>
      </c>
      <c r="B33">
        <v>5.0402622734241538</v>
      </c>
      <c r="C33">
        <v>-2.2982436609229495E-2</v>
      </c>
    </row>
    <row r="34" spans="1:3" x14ac:dyDescent="0.35">
      <c r="A34">
        <v>10</v>
      </c>
      <c r="B34">
        <v>4.8795133936794794</v>
      </c>
      <c r="C34">
        <v>-4.3231486728001478E-2</v>
      </c>
    </row>
    <row r="35" spans="1:3" x14ac:dyDescent="0.35">
      <c r="A35">
        <v>11</v>
      </c>
      <c r="B35">
        <v>5.0653215279648958</v>
      </c>
      <c r="C35">
        <v>-2.1896411045648989E-2</v>
      </c>
    </row>
    <row r="36" spans="1:3" x14ac:dyDescent="0.35">
      <c r="A36">
        <v>12</v>
      </c>
      <c r="B36">
        <v>5.1028637452303363</v>
      </c>
      <c r="C36">
        <v>-3.3959543010104731E-2</v>
      </c>
    </row>
    <row r="37" spans="1:3" x14ac:dyDescent="0.35">
      <c r="A37">
        <v>13</v>
      </c>
      <c r="B37">
        <v>5.1122911802769559</v>
      </c>
      <c r="C37">
        <v>-8.1853258884520663E-2</v>
      </c>
    </row>
    <row r="38" spans="1:3" x14ac:dyDescent="0.35">
      <c r="A38">
        <v>14</v>
      </c>
      <c r="B38">
        <v>5.1698757671046014</v>
      </c>
      <c r="C38">
        <v>6.2739654692274271E-3</v>
      </c>
    </row>
    <row r="39" spans="1:3" x14ac:dyDescent="0.35">
      <c r="A39">
        <v>15</v>
      </c>
      <c r="B39">
        <v>5.1796281753281228</v>
      </c>
      <c r="C39">
        <v>3.5307582280863059E-2</v>
      </c>
    </row>
    <row r="40" spans="1:3" x14ac:dyDescent="0.35">
      <c r="A40">
        <v>16</v>
      </c>
      <c r="B40">
        <v>5.1468233266659071</v>
      </c>
      <c r="C40">
        <v>-1.6924611742833662E-2</v>
      </c>
    </row>
    <row r="41" spans="1:3" x14ac:dyDescent="0.35">
      <c r="A41">
        <v>17</v>
      </c>
      <c r="B41">
        <v>5.1763857222729701</v>
      </c>
      <c r="C41">
        <v>6.5361292786672465E-2</v>
      </c>
    </row>
    <row r="42" spans="1:3" x14ac:dyDescent="0.35">
      <c r="A42">
        <v>18</v>
      </c>
      <c r="B42">
        <v>5.3798692462265389</v>
      </c>
      <c r="C42">
        <v>3.623115597788118E-2</v>
      </c>
    </row>
    <row r="43" spans="1:3" x14ac:dyDescent="0.35">
      <c r="A43">
        <v>19</v>
      </c>
      <c r="B43">
        <v>5.4762947158932773</v>
      </c>
      <c r="C43">
        <v>-5.134469841187439E-2</v>
      </c>
    </row>
    <row r="44" spans="1:3" x14ac:dyDescent="0.35">
      <c r="A44">
        <v>20</v>
      </c>
      <c r="B44">
        <v>5.4991372918144092</v>
      </c>
      <c r="C44">
        <v>-9.1965520354290398E-2</v>
      </c>
    </row>
    <row r="45" spans="1:3" x14ac:dyDescent="0.35">
      <c r="A45">
        <v>21</v>
      </c>
      <c r="B45">
        <v>5.4660084893859944</v>
      </c>
      <c r="C45">
        <v>-8.1513426596905525E-2</v>
      </c>
    </row>
    <row r="46" spans="1:3" x14ac:dyDescent="0.35">
      <c r="A46">
        <v>22</v>
      </c>
      <c r="B46">
        <v>5.4562885645233221</v>
      </c>
      <c r="C46">
        <v>-1.3870854001528876E-2</v>
      </c>
    </row>
    <row r="47" spans="1:3" x14ac:dyDescent="0.35">
      <c r="A47">
        <v>23</v>
      </c>
      <c r="B47">
        <v>5.0976917298460194</v>
      </c>
      <c r="C47">
        <v>8.9694075994735556E-2</v>
      </c>
    </row>
    <row r="48" spans="1:3" ht="15" thickBot="1" x14ac:dyDescent="0.4">
      <c r="A48" s="6">
        <v>24</v>
      </c>
      <c r="B48" s="6">
        <v>5.2139693497481803</v>
      </c>
      <c r="C48" s="6">
        <v>0.26666957359381094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B11" zoomScale="80" zoomScaleNormal="80" workbookViewId="0">
      <selection activeCell="E35" sqref="E35"/>
    </sheetView>
  </sheetViews>
  <sheetFormatPr defaultRowHeight="14.5" x14ac:dyDescent="0.35"/>
  <cols>
    <col min="1" max="1" width="16.6328125" customWidth="1"/>
    <col min="5" max="5" width="17.7265625" customWidth="1"/>
    <col min="6" max="6" width="17.08984375" customWidth="1"/>
    <col min="7" max="7" width="15.54296875" customWidth="1"/>
    <col min="8" max="8" width="27" customWidth="1"/>
    <col min="9" max="9" width="31.81640625" customWidth="1"/>
    <col min="10" max="10" width="27.26953125" customWidth="1"/>
    <col min="11" max="11" width="17.90625" customWidth="1"/>
    <col min="12" max="12" width="13.54296875" customWidth="1"/>
  </cols>
  <sheetData>
    <row r="1" spans="1:10" ht="45" customHeight="1" thickBot="1" x14ac:dyDescent="0.4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39</v>
      </c>
      <c r="J1" s="1" t="s">
        <v>40</v>
      </c>
    </row>
    <row r="2" spans="1:10" ht="18.5" thickBot="1" x14ac:dyDescent="0.4">
      <c r="A2">
        <v>1</v>
      </c>
      <c r="B2" s="2">
        <v>100</v>
      </c>
      <c r="C2" s="2">
        <v>100</v>
      </c>
      <c r="D2" s="2">
        <v>100</v>
      </c>
      <c r="E2">
        <f>LN(B2)</f>
        <v>4.6051701859880918</v>
      </c>
      <c r="F2" s="5">
        <v>1</v>
      </c>
      <c r="G2">
        <f>LN(C2)</f>
        <v>4.6051701859880918</v>
      </c>
      <c r="H2">
        <f>LN(D2)</f>
        <v>4.6051701859880918</v>
      </c>
      <c r="I2">
        <f>B31*G2+A31*H2</f>
        <v>21.518915167114212</v>
      </c>
      <c r="J2">
        <f>E2-I2</f>
        <v>-16.913744981126122</v>
      </c>
    </row>
    <row r="3" spans="1:10" ht="18.5" thickBot="1" x14ac:dyDescent="0.4">
      <c r="A3">
        <v>2</v>
      </c>
      <c r="B3" s="3">
        <v>101</v>
      </c>
      <c r="C3" s="3">
        <v>107</v>
      </c>
      <c r="D3" s="3">
        <v>104.8</v>
      </c>
      <c r="E3">
        <f t="shared" ref="E3:E25" si="0">LN(B3)</f>
        <v>4.6151205168412597</v>
      </c>
      <c r="F3" s="5">
        <v>1</v>
      </c>
      <c r="G3">
        <f t="shared" ref="G3:G26" si="1">LN(C3)</f>
        <v>4.6728288344619058</v>
      </c>
      <c r="H3">
        <f t="shared" ref="H3:H26" si="2">LN(D3)</f>
        <v>4.6520537718869415</v>
      </c>
      <c r="I3">
        <f>B31*G3+A31*H3</f>
        <v>21.834531285111627</v>
      </c>
      <c r="J3">
        <f t="shared" ref="J3:J25" si="3">E3-I3</f>
        <v>-17.219410768270368</v>
      </c>
    </row>
    <row r="4" spans="1:10" ht="18.5" thickBot="1" x14ac:dyDescent="0.4">
      <c r="A4">
        <v>3</v>
      </c>
      <c r="B4" s="3">
        <v>112</v>
      </c>
      <c r="C4" s="3">
        <v>114</v>
      </c>
      <c r="D4" s="3">
        <v>110</v>
      </c>
      <c r="E4">
        <f t="shared" si="0"/>
        <v>4.7184988712950942</v>
      </c>
      <c r="F4" s="5">
        <v>1</v>
      </c>
      <c r="G4">
        <f t="shared" si="1"/>
        <v>4.7361984483944957</v>
      </c>
      <c r="H4">
        <f t="shared" si="2"/>
        <v>4.7004803657924166</v>
      </c>
      <c r="I4">
        <f>B31*G4+A31*H4</f>
        <v>22.130256576382052</v>
      </c>
      <c r="J4">
        <f t="shared" si="3"/>
        <v>-17.411757705086959</v>
      </c>
    </row>
    <row r="5" spans="1:10" ht="18.5" thickBot="1" x14ac:dyDescent="0.4">
      <c r="A5">
        <v>4</v>
      </c>
      <c r="B5" s="3">
        <v>122</v>
      </c>
      <c r="C5" s="3">
        <v>122</v>
      </c>
      <c r="D5" s="3">
        <v>117.2</v>
      </c>
      <c r="E5">
        <f t="shared" si="0"/>
        <v>4.8040210447332568</v>
      </c>
      <c r="F5" s="5">
        <v>1</v>
      </c>
      <c r="G5">
        <f t="shared" si="1"/>
        <v>4.8040210447332568</v>
      </c>
      <c r="H5">
        <f t="shared" si="2"/>
        <v>4.7638818771429126</v>
      </c>
      <c r="I5">
        <f>B31*G5+A31*H5</f>
        <v>22.447061816330059</v>
      </c>
      <c r="J5">
        <f t="shared" si="3"/>
        <v>-17.643040771596802</v>
      </c>
    </row>
    <row r="6" spans="1:10" ht="18.5" thickBot="1" x14ac:dyDescent="0.4">
      <c r="A6">
        <v>5</v>
      </c>
      <c r="B6" s="3">
        <v>124</v>
      </c>
      <c r="C6" s="3">
        <v>131</v>
      </c>
      <c r="D6" s="3">
        <v>121.9</v>
      </c>
      <c r="E6">
        <f t="shared" si="0"/>
        <v>4.8202815656050371</v>
      </c>
      <c r="F6" s="5">
        <v>1</v>
      </c>
      <c r="G6">
        <f t="shared" si="1"/>
        <v>4.8751973232011512</v>
      </c>
      <c r="H6">
        <f t="shared" si="2"/>
        <v>4.8032010364872262</v>
      </c>
      <c r="I6">
        <f>B31*G6+A31*H6</f>
        <v>22.778828359773197</v>
      </c>
      <c r="J6">
        <f t="shared" si="3"/>
        <v>-17.958546794168161</v>
      </c>
    </row>
    <row r="7" spans="1:10" ht="18.5" thickBot="1" x14ac:dyDescent="0.4">
      <c r="A7">
        <v>6</v>
      </c>
      <c r="B7" s="3">
        <v>122</v>
      </c>
      <c r="C7" s="3">
        <v>138</v>
      </c>
      <c r="D7" s="3">
        <v>115.6</v>
      </c>
      <c r="E7">
        <f t="shared" si="0"/>
        <v>4.8040210447332568</v>
      </c>
      <c r="F7" s="5">
        <v>1</v>
      </c>
      <c r="G7">
        <f t="shared" si="1"/>
        <v>4.9272536851572051</v>
      </c>
      <c r="H7">
        <f t="shared" si="2"/>
        <v>4.7501359562382772</v>
      </c>
      <c r="I7">
        <f>B31*G7+A31*H7</f>
        <v>23.019356733286941</v>
      </c>
      <c r="J7">
        <f t="shared" si="3"/>
        <v>-18.215335688553683</v>
      </c>
    </row>
    <row r="8" spans="1:10" ht="18.5" thickBot="1" x14ac:dyDescent="0.4">
      <c r="A8">
        <v>7</v>
      </c>
      <c r="B8" s="3">
        <v>143</v>
      </c>
      <c r="C8" s="3">
        <v>149</v>
      </c>
      <c r="D8" s="3">
        <v>125</v>
      </c>
      <c r="E8">
        <f t="shared" si="0"/>
        <v>4.962844630259907</v>
      </c>
      <c r="F8" s="5">
        <v>1</v>
      </c>
      <c r="G8">
        <f t="shared" si="1"/>
        <v>5.0039463059454592</v>
      </c>
      <c r="H8">
        <f t="shared" si="2"/>
        <v>4.8283137373023015</v>
      </c>
      <c r="I8">
        <f>B31*G8+A31*H8</f>
        <v>23.377762362225528</v>
      </c>
      <c r="J8">
        <f t="shared" si="3"/>
        <v>-18.414917731965623</v>
      </c>
    </row>
    <row r="9" spans="1:10" ht="18.5" thickBot="1" x14ac:dyDescent="0.4">
      <c r="A9">
        <v>8</v>
      </c>
      <c r="B9" s="3">
        <v>152</v>
      </c>
      <c r="C9" s="3">
        <v>163</v>
      </c>
      <c r="D9" s="3">
        <v>134.19999999999999</v>
      </c>
      <c r="E9">
        <f t="shared" si="0"/>
        <v>5.0238805208462765</v>
      </c>
      <c r="F9" s="5">
        <v>1</v>
      </c>
      <c r="G9">
        <f t="shared" si="1"/>
        <v>5.0937502008067623</v>
      </c>
      <c r="H9">
        <f t="shared" si="2"/>
        <v>4.8993312245375815</v>
      </c>
      <c r="I9">
        <f>B31*G9+A31*H9</f>
        <v>23.796909631713881</v>
      </c>
      <c r="J9">
        <f t="shared" si="3"/>
        <v>-18.773029110867604</v>
      </c>
    </row>
    <row r="10" spans="1:10" ht="18.5" thickBot="1" x14ac:dyDescent="0.4">
      <c r="A10">
        <v>9</v>
      </c>
      <c r="B10" s="3">
        <v>151</v>
      </c>
      <c r="C10" s="3">
        <v>176</v>
      </c>
      <c r="D10" s="3">
        <v>139.9</v>
      </c>
      <c r="E10">
        <f t="shared" si="0"/>
        <v>5.0172798368149243</v>
      </c>
      <c r="F10" s="5">
        <v>1</v>
      </c>
      <c r="G10">
        <f t="shared" si="1"/>
        <v>5.1704839950381514</v>
      </c>
      <c r="H10">
        <f t="shared" si="2"/>
        <v>4.9409278816714357</v>
      </c>
      <c r="I10">
        <f>B31*G10+A31*H10</f>
        <v>24.154560340363901</v>
      </c>
      <c r="J10">
        <f t="shared" si="3"/>
        <v>-19.137280503548975</v>
      </c>
    </row>
    <row r="11" spans="1:10" ht="18.5" thickBot="1" x14ac:dyDescent="0.4">
      <c r="A11">
        <v>10</v>
      </c>
      <c r="B11" s="3">
        <v>126</v>
      </c>
      <c r="C11" s="3">
        <v>185</v>
      </c>
      <c r="D11" s="3">
        <v>123.2</v>
      </c>
      <c r="E11">
        <f t="shared" si="0"/>
        <v>4.836281906951478</v>
      </c>
      <c r="F11" s="5">
        <v>1</v>
      </c>
      <c r="G11">
        <f t="shared" si="1"/>
        <v>5.2203558250783244</v>
      </c>
      <c r="H11">
        <f t="shared" si="2"/>
        <v>4.8138090510994198</v>
      </c>
      <c r="I11">
        <f>B31*G11+A31*H11</f>
        <v>24.383021840176287</v>
      </c>
      <c r="J11">
        <f t="shared" si="3"/>
        <v>-19.54673993322481</v>
      </c>
    </row>
    <row r="12" spans="1:10" ht="18.5" thickBot="1" x14ac:dyDescent="0.4">
      <c r="A12">
        <v>11</v>
      </c>
      <c r="B12" s="3">
        <v>155</v>
      </c>
      <c r="C12" s="3">
        <v>198</v>
      </c>
      <c r="D12" s="3">
        <v>142.69999999999999</v>
      </c>
      <c r="E12">
        <f t="shared" si="0"/>
        <v>5.0434251169192468</v>
      </c>
      <c r="F12" s="5">
        <v>1</v>
      </c>
      <c r="G12">
        <f t="shared" si="1"/>
        <v>5.2882670306945352</v>
      </c>
      <c r="H12">
        <f t="shared" si="2"/>
        <v>4.9607445244827906</v>
      </c>
      <c r="I12">
        <f>B31*G12+A31*H12</f>
        <v>24.702399624590434</v>
      </c>
      <c r="J12">
        <f t="shared" si="3"/>
        <v>-19.658974507671189</v>
      </c>
    </row>
    <row r="13" spans="1:10" ht="18.5" thickBot="1" x14ac:dyDescent="0.4">
      <c r="A13">
        <v>12</v>
      </c>
      <c r="B13" s="3">
        <v>159</v>
      </c>
      <c r="C13" s="3">
        <v>208</v>
      </c>
      <c r="D13" s="3">
        <v>147</v>
      </c>
      <c r="E13">
        <f t="shared" si="0"/>
        <v>5.0689042022202315</v>
      </c>
      <c r="F13" s="5">
        <v>1</v>
      </c>
      <c r="G13">
        <f t="shared" si="1"/>
        <v>5.3375380797013179</v>
      </c>
      <c r="H13">
        <f t="shared" si="2"/>
        <v>4.990432586778736</v>
      </c>
      <c r="I13">
        <f>B31*G13+A31*H13</f>
        <v>24.932125498823574</v>
      </c>
      <c r="J13">
        <f t="shared" si="3"/>
        <v>-19.863221296603342</v>
      </c>
    </row>
    <row r="14" spans="1:10" ht="18.5" thickBot="1" x14ac:dyDescent="0.4">
      <c r="A14">
        <v>13</v>
      </c>
      <c r="B14" s="2">
        <v>153</v>
      </c>
      <c r="C14" s="2">
        <v>216</v>
      </c>
      <c r="D14" s="2">
        <v>148.1</v>
      </c>
      <c r="E14">
        <f t="shared" si="0"/>
        <v>5.0304379213924353</v>
      </c>
      <c r="F14" s="5">
        <v>1</v>
      </c>
      <c r="G14">
        <f t="shared" si="1"/>
        <v>5.3752784076841653</v>
      </c>
      <c r="H14">
        <f t="shared" si="2"/>
        <v>4.9978877212737531</v>
      </c>
      <c r="I14">
        <f>B31*G14+A31*H14</f>
        <v>25.107694094946872</v>
      </c>
      <c r="J14">
        <f t="shared" si="3"/>
        <v>-20.077256173554439</v>
      </c>
    </row>
    <row r="15" spans="1:10" ht="18.5" thickBot="1" x14ac:dyDescent="0.4">
      <c r="A15">
        <v>14</v>
      </c>
      <c r="B15" s="3">
        <v>177</v>
      </c>
      <c r="C15" s="3">
        <v>226</v>
      </c>
      <c r="D15" s="3">
        <v>155</v>
      </c>
      <c r="E15">
        <f t="shared" si="0"/>
        <v>5.1761497325738288</v>
      </c>
      <c r="F15" s="5">
        <v>1</v>
      </c>
      <c r="G15">
        <f t="shared" si="1"/>
        <v>5.4205349992722862</v>
      </c>
      <c r="H15">
        <f t="shared" si="2"/>
        <v>5.0434251169192468</v>
      </c>
      <c r="I15">
        <f>B31*G15+A31*H15</f>
        <v>25.319175140363495</v>
      </c>
      <c r="J15">
        <f t="shared" si="3"/>
        <v>-20.143025407789665</v>
      </c>
    </row>
    <row r="16" spans="1:10" ht="18.5" thickBot="1" x14ac:dyDescent="0.4">
      <c r="A16">
        <v>15</v>
      </c>
      <c r="B16" s="3">
        <v>184</v>
      </c>
      <c r="C16" s="3">
        <v>236</v>
      </c>
      <c r="D16" s="3">
        <v>156.19999999999999</v>
      </c>
      <c r="E16">
        <f t="shared" si="0"/>
        <v>5.2149357576089859</v>
      </c>
      <c r="F16" s="5">
        <v>1</v>
      </c>
      <c r="G16">
        <f t="shared" si="1"/>
        <v>5.4638318050256105</v>
      </c>
      <c r="H16">
        <f t="shared" si="2"/>
        <v>5.0511372374055856</v>
      </c>
      <c r="I16">
        <f>B31*G16+A31*H16</f>
        <v>25.520570813356873</v>
      </c>
      <c r="J16">
        <f t="shared" si="3"/>
        <v>-20.305635055747885</v>
      </c>
    </row>
    <row r="17" spans="1:10" ht="18.5" thickBot="1" x14ac:dyDescent="0.4">
      <c r="A17">
        <v>16</v>
      </c>
      <c r="B17" s="3">
        <v>169</v>
      </c>
      <c r="C17" s="3">
        <v>244</v>
      </c>
      <c r="D17" s="3">
        <v>152.19999999999999</v>
      </c>
      <c r="E17">
        <f t="shared" si="0"/>
        <v>5.1298987149230735</v>
      </c>
      <c r="F17" s="5">
        <v>1</v>
      </c>
      <c r="G17">
        <f t="shared" si="1"/>
        <v>5.4971682252932021</v>
      </c>
      <c r="H17">
        <f t="shared" si="2"/>
        <v>5.0251954454275856</v>
      </c>
      <c r="I17">
        <f>B31*G17+A31*H17</f>
        <v>25.674810981410516</v>
      </c>
      <c r="J17">
        <f t="shared" si="3"/>
        <v>-20.544912266487444</v>
      </c>
    </row>
    <row r="18" spans="1:10" ht="18.5" thickBot="1" x14ac:dyDescent="0.4">
      <c r="A18">
        <v>17</v>
      </c>
      <c r="B18" s="3">
        <v>189</v>
      </c>
      <c r="C18" s="3">
        <v>266</v>
      </c>
      <c r="D18" s="3">
        <v>155.80000000000001</v>
      </c>
      <c r="E18">
        <f t="shared" si="0"/>
        <v>5.2417470150596426</v>
      </c>
      <c r="F18" s="5">
        <v>1</v>
      </c>
      <c r="G18">
        <f t="shared" si="1"/>
        <v>5.5834963087816991</v>
      </c>
      <c r="H18">
        <f t="shared" si="2"/>
        <v>5.0485731334366477</v>
      </c>
      <c r="I18">
        <f>B31*G18+A31*H18</f>
        <v>26.076574176685394</v>
      </c>
      <c r="J18">
        <f t="shared" si="3"/>
        <v>-20.834827161625753</v>
      </c>
    </row>
    <row r="19" spans="1:10" ht="18.5" thickBot="1" x14ac:dyDescent="0.4">
      <c r="A19">
        <v>18</v>
      </c>
      <c r="B19" s="3">
        <v>225</v>
      </c>
      <c r="C19" s="3">
        <v>298</v>
      </c>
      <c r="D19" s="3">
        <v>183</v>
      </c>
      <c r="E19">
        <f t="shared" si="0"/>
        <v>5.4161004022044201</v>
      </c>
      <c r="F19" s="5">
        <v>1</v>
      </c>
      <c r="G19">
        <f t="shared" si="1"/>
        <v>5.6970934865054046</v>
      </c>
      <c r="H19">
        <f t="shared" si="2"/>
        <v>5.2094861528414214</v>
      </c>
      <c r="I19">
        <f>B31*G19+A31*H19</f>
        <v>26.60861193403699</v>
      </c>
      <c r="J19">
        <f t="shared" si="3"/>
        <v>-21.192511531832569</v>
      </c>
    </row>
    <row r="20" spans="1:10" ht="18.5" thickBot="1" x14ac:dyDescent="0.4">
      <c r="A20">
        <v>19</v>
      </c>
      <c r="B20" s="3">
        <v>227</v>
      </c>
      <c r="C20" s="3">
        <v>335</v>
      </c>
      <c r="D20" s="3">
        <v>197.5</v>
      </c>
      <c r="E20">
        <f t="shared" si="0"/>
        <v>5.4249500174814029</v>
      </c>
      <c r="F20" s="5">
        <v>1</v>
      </c>
      <c r="G20">
        <f t="shared" si="1"/>
        <v>5.8141305318250662</v>
      </c>
      <c r="H20">
        <f t="shared" si="2"/>
        <v>5.2857385843411766</v>
      </c>
      <c r="I20">
        <f>B31*G20+A31*H20</f>
        <v>27.154444504349023</v>
      </c>
      <c r="J20">
        <f t="shared" si="3"/>
        <v>-21.729494486867619</v>
      </c>
    </row>
    <row r="21" spans="1:10" ht="18.5" thickBot="1" x14ac:dyDescent="0.4">
      <c r="A21">
        <v>20</v>
      </c>
      <c r="B21" s="3">
        <v>223</v>
      </c>
      <c r="C21" s="3">
        <v>366</v>
      </c>
      <c r="D21" s="3">
        <v>201.1</v>
      </c>
      <c r="E21">
        <f t="shared" si="0"/>
        <v>5.4071717714601188</v>
      </c>
      <c r="F21" s="5">
        <v>1</v>
      </c>
      <c r="G21">
        <f t="shared" si="1"/>
        <v>5.9026333334013659</v>
      </c>
      <c r="H21">
        <f t="shared" si="2"/>
        <v>5.3038022967786063</v>
      </c>
      <c r="I21">
        <f>B31*G21+A31*H21</f>
        <v>27.56617595255166</v>
      </c>
      <c r="J21">
        <f t="shared" si="3"/>
        <v>-22.159004181091539</v>
      </c>
    </row>
    <row r="22" spans="1:10" ht="18.5" thickBot="1" x14ac:dyDescent="0.4">
      <c r="A22">
        <v>21</v>
      </c>
      <c r="B22" s="3">
        <v>218</v>
      </c>
      <c r="C22" s="3">
        <v>387</v>
      </c>
      <c r="D22" s="3">
        <v>195.9</v>
      </c>
      <c r="E22">
        <f t="shared" si="0"/>
        <v>5.3844950627890888</v>
      </c>
      <c r="F22" s="5">
        <v>1</v>
      </c>
      <c r="G22">
        <f t="shared" si="1"/>
        <v>5.9584246930297819</v>
      </c>
      <c r="H22">
        <f t="shared" si="2"/>
        <v>5.2776043249504951</v>
      </c>
      <c r="I22">
        <f>B31*G22+A31*H22</f>
        <v>27.824755484325017</v>
      </c>
      <c r="J22">
        <f t="shared" si="3"/>
        <v>-22.440260421535928</v>
      </c>
    </row>
    <row r="23" spans="1:10" ht="18.5" thickBot="1" x14ac:dyDescent="0.4">
      <c r="A23">
        <v>22</v>
      </c>
      <c r="B23" s="3">
        <v>231</v>
      </c>
      <c r="C23" s="3">
        <v>407</v>
      </c>
      <c r="D23" s="3">
        <v>194.4</v>
      </c>
      <c r="E23">
        <f t="shared" si="0"/>
        <v>5.4424177105217932</v>
      </c>
      <c r="F23" s="5">
        <v>1</v>
      </c>
      <c r="G23">
        <f t="shared" si="1"/>
        <v>6.0088131854425946</v>
      </c>
      <c r="H23">
        <f t="shared" si="2"/>
        <v>5.2699178920263385</v>
      </c>
      <c r="I23">
        <f>B31*G23+A31*H23</f>
        <v>28.058707241264106</v>
      </c>
      <c r="J23">
        <f t="shared" si="3"/>
        <v>-22.616289530742314</v>
      </c>
    </row>
    <row r="24" spans="1:10" ht="18.5" thickBot="1" x14ac:dyDescent="0.4">
      <c r="A24">
        <v>23</v>
      </c>
      <c r="B24" s="3">
        <v>179</v>
      </c>
      <c r="C24" s="3">
        <v>417</v>
      </c>
      <c r="D24" s="3">
        <v>146.4</v>
      </c>
      <c r="E24">
        <f t="shared" si="0"/>
        <v>5.1873858058407549</v>
      </c>
      <c r="F24" s="5">
        <v>1</v>
      </c>
      <c r="G24">
        <f t="shared" si="1"/>
        <v>6.0330862217988015</v>
      </c>
      <c r="H24">
        <f t="shared" si="2"/>
        <v>4.9863426015272116</v>
      </c>
      <c r="I24">
        <f>B31*G24+A31*H24</f>
        <v>28.164166472836143</v>
      </c>
      <c r="J24">
        <f t="shared" si="3"/>
        <v>-22.976780666995388</v>
      </c>
    </row>
    <row r="25" spans="1:10" ht="18.5" thickBot="1" x14ac:dyDescent="0.4">
      <c r="A25">
        <v>24</v>
      </c>
      <c r="B25" s="3">
        <v>240</v>
      </c>
      <c r="C25" s="3">
        <v>431</v>
      </c>
      <c r="D25" s="3">
        <v>160.5</v>
      </c>
      <c r="E25">
        <f t="shared" si="0"/>
        <v>5.4806389233419912</v>
      </c>
      <c r="F25" s="5">
        <v>1</v>
      </c>
      <c r="G25">
        <f t="shared" si="1"/>
        <v>6.0661080901037474</v>
      </c>
      <c r="H25">
        <f t="shared" si="2"/>
        <v>5.0782939425700704</v>
      </c>
      <c r="I25">
        <f>B31*G25+A31*H25</f>
        <v>28.319994506823324</v>
      </c>
      <c r="J25">
        <f t="shared" si="3"/>
        <v>-22.839355583481332</v>
      </c>
    </row>
    <row r="26" spans="1:10" ht="18" x14ac:dyDescent="0.35">
      <c r="C26" s="4">
        <v>480</v>
      </c>
      <c r="D26" s="4">
        <v>180</v>
      </c>
      <c r="G26">
        <f>LN(C26)</f>
        <v>6.1737861039019366</v>
      </c>
      <c r="H26">
        <f>LN(D26)</f>
        <v>5.1929568508902104</v>
      </c>
      <c r="I26">
        <f>B31*G26+A31*H26</f>
        <v>28.823330107821857</v>
      </c>
    </row>
    <row r="27" spans="1:10" x14ac:dyDescent="0.35">
      <c r="F27" t="s">
        <v>51</v>
      </c>
      <c r="G27">
        <f>AVERAGE(G2:G25)</f>
        <v>5.3564837603068503</v>
      </c>
      <c r="H27">
        <f>AVERAGE(H2:H25)</f>
        <v>4.9702452770377619</v>
      </c>
    </row>
    <row r="28" spans="1:10" x14ac:dyDescent="0.35">
      <c r="E28" t="s">
        <v>42</v>
      </c>
      <c r="F28" t="s">
        <v>46</v>
      </c>
      <c r="G28" t="s">
        <v>47</v>
      </c>
      <c r="H28" s="10" t="s">
        <v>48</v>
      </c>
      <c r="I28" t="s">
        <v>44</v>
      </c>
      <c r="J28" s="9" t="s">
        <v>45</v>
      </c>
    </row>
    <row r="29" spans="1:10" x14ac:dyDescent="0.35">
      <c r="E29">
        <f>I26</f>
        <v>28.823330107821857</v>
      </c>
      <c r="F29">
        <f>E29-H29</f>
        <v>-19.748399327660412</v>
      </c>
      <c r="G29">
        <f>E29+H29</f>
        <v>77.395059543304129</v>
      </c>
      <c r="H29">
        <f>I29*J29</f>
        <v>48.571729435482268</v>
      </c>
      <c r="I29">
        <f>_xlfn.T.INV.2T(0.05,21)</f>
        <v>2.07961384472768</v>
      </c>
      <c r="J29">
        <f>A34*SQRT(1+1/24+H38)</f>
        <v>23.356129099939999</v>
      </c>
    </row>
    <row r="30" spans="1:10" x14ac:dyDescent="0.35">
      <c r="A30" t="s">
        <v>37</v>
      </c>
      <c r="B30" t="s">
        <v>38</v>
      </c>
      <c r="C30" t="s">
        <v>36</v>
      </c>
    </row>
    <row r="31" spans="1:10" x14ac:dyDescent="0.35">
      <c r="A31">
        <f t="array" ref="A31:B31">LINEST(H2:H25)</f>
        <v>2.5867149584940501E-2</v>
      </c>
      <c r="B31">
        <v>4.6469059072260057</v>
      </c>
      <c r="C31">
        <v>0</v>
      </c>
      <c r="E31" t="s">
        <v>43</v>
      </c>
      <c r="F31" t="s">
        <v>54</v>
      </c>
      <c r="G31" t="s">
        <v>55</v>
      </c>
    </row>
    <row r="32" spans="1:10" x14ac:dyDescent="0.35">
      <c r="E32">
        <f>EXP(E29)</f>
        <v>3294679820435.6172</v>
      </c>
      <c r="F32">
        <f t="shared" ref="F32:G32" si="4">EXP(F29)</f>
        <v>2.6508133283992227E-9</v>
      </c>
      <c r="G32">
        <f t="shared" si="4"/>
        <v>4.0949375811916541E+33</v>
      </c>
      <c r="H32" t="s">
        <v>52</v>
      </c>
      <c r="I32" t="s">
        <v>53</v>
      </c>
      <c r="J32" t="s">
        <v>49</v>
      </c>
    </row>
    <row r="33" spans="1:12" x14ac:dyDescent="0.35">
      <c r="A33" t="s">
        <v>41</v>
      </c>
      <c r="H33">
        <f>G26-G27</f>
        <v>0.81730234359508636</v>
      </c>
      <c r="I33">
        <f>H26-H27</f>
        <v>0.22271157385244855</v>
      </c>
      <c r="J33" cm="1">
        <f t="array" ref="J33:L35">MMULT(TRANSPOSE(F2:H25),F2:H25)</f>
        <v>24</v>
      </c>
      <c r="K33">
        <v>128.5556102473644</v>
      </c>
      <c r="L33">
        <v>119.28588664890628</v>
      </c>
    </row>
    <row r="34" spans="1:12" x14ac:dyDescent="0.35">
      <c r="A34">
        <f>SQRT(SUMSQ(J2:J25)/(24-1-1))</f>
        <v>20.918121191508714</v>
      </c>
      <c r="J34">
        <v>128.5556102473644</v>
      </c>
      <c r="K34">
        <v>693.45545478513395</v>
      </c>
      <c r="L34">
        <v>640.91213781541865</v>
      </c>
    </row>
    <row r="35" spans="1:12" x14ac:dyDescent="0.35">
      <c r="J35">
        <v>119.28588664890628</v>
      </c>
      <c r="K35">
        <v>640.91213781541865</v>
      </c>
      <c r="L35">
        <v>593.84341128519532</v>
      </c>
    </row>
    <row r="36" spans="1:12" x14ac:dyDescent="0.35">
      <c r="H36" cm="1">
        <f t="array" ref="H36:I36">MMULT(H33:I33,K40:L41)</f>
        <v>0.42138943890152059</v>
      </c>
      <c r="I36">
        <v>-0.62585542103656544</v>
      </c>
    </row>
    <row r="38" spans="1:12" x14ac:dyDescent="0.35">
      <c r="H38">
        <f>SUMPRODUCT(H33:I33,_xlfn.ANCHORARRAY(H36))</f>
        <v>0.2050173301572909</v>
      </c>
      <c r="J38" t="s">
        <v>50</v>
      </c>
    </row>
    <row r="39" spans="1:12" x14ac:dyDescent="0.35">
      <c r="J39" cm="1">
        <f t="array" ref="J39:L41">MINVERSE(_xlfn.ANCHORARRAY(J33))</f>
        <v>51.807992612564654</v>
      </c>
      <c r="K39">
        <v>5.4965771078591317</v>
      </c>
      <c r="L39">
        <v>-16.338962653734409</v>
      </c>
    </row>
    <row r="40" spans="1:12" x14ac:dyDescent="0.35">
      <c r="J40">
        <v>5.4965771078588848</v>
      </c>
      <c r="K40">
        <v>1.1565981515282955</v>
      </c>
      <c r="L40">
        <v>-2.3523741127499069</v>
      </c>
    </row>
    <row r="41" spans="1:12" x14ac:dyDescent="0.35">
      <c r="J41">
        <v>-16.338962653734143</v>
      </c>
      <c r="K41">
        <v>-2.3523741127499567</v>
      </c>
      <c r="L41">
        <v>5.8225328477336733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Аркуш3</vt:lpstr>
      <vt:lpstr>Аркуш4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Лаура Мовсисян</dc:creator>
  <cp:lastModifiedBy>Лаура Мовсисян</cp:lastModifiedBy>
  <dcterms:created xsi:type="dcterms:W3CDTF">2015-06-05T18:19:34Z</dcterms:created>
  <dcterms:modified xsi:type="dcterms:W3CDTF">2025-03-02T16:14:09Z</dcterms:modified>
</cp:coreProperties>
</file>